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c748471ba47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毛利機會總覽" sheetId="1" r:id="R9423bd1bfc34422b"/>
    <x:sheet xmlns:r="http://schemas.openxmlformats.org/officeDocument/2006/relationships" name="加價服務矩陣" sheetId="2" r:id="Ra835946f32a544e3"/>
    <x:sheet xmlns:r="http://schemas.openxmlformats.org/officeDocument/2006/relationships" name="對話訊號彙總" sheetId="3" r:id="R6131da5bcfd04739"/>
    <x:sheet xmlns:r="http://schemas.openxmlformats.org/officeDocument/2006/relationships" name="案件稽核表" sheetId="4" r:id="R4f7575c9a1304b22"/>
    <x:sheet xmlns:r="http://schemas.openxmlformats.org/officeDocument/2006/relationships" name="計價參數" sheetId="5" r:id="R5e43faceb4634a59"/>
    <x:sheet xmlns:r="http://schemas.openxmlformats.org/officeDocument/2006/relationships" name="來源與邊界" sheetId="6" r:id="R0ad6ea1156584b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NT$#,##0"/>
    <x:numFmt numFmtId="201" formatCode="0%"/>
    <x:numFmt numFmtId="202" formatCode="#,##0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34E3F"/>
      <x:name val="Carlito"/>
    </x:font>
    <x:font>
      <x:b/>
      <x:sz val="11"/>
      <x:color rgb="FFFFFFFF"/>
      <x:name val="Carlito"/>
    </x:font>
    <x:font>
      <x:sz val="10"/>
      <x:color rgb="FF25252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34E3F"/>
      </x:patternFill>
    </x:fill>
    <x:fill>
      <x:patternFill patternType="solid">
        <x:fgColor rgb="FFF3E9DC"/>
      </x:patternFill>
    </x:fill>
    <x:fill>
      <x:patternFill patternType="solid">
        <x:fgColor rgb="FF3D6B59"/>
      </x:patternFill>
    </x:fill>
    <x:fill>
      <x:patternFill patternType="solid">
        <x:fgColor rgb="FFFBF7F1"/>
      </x:patternFill>
    </x:fill>
    <x:fill>
      <x:patternFill patternType="solid">
        <x:fgColor rgb="FFFFF2B2"/>
      </x:patternFill>
    </x:fill>
  </x:fills>
  <x:borders count="6">
    <x:border/>
    <x:border>
      <x:left style="thin">
        <x:color rgb="FF234E3F"/>
      </x:left>
      <x:top style="thin">
        <x:color rgb="FF234E3F"/>
      </x:top>
      <x:bottom style="thin">
        <x:color rgb="FF234E3F"/>
      </x:bottom>
    </x:border>
    <x:border>
      <x:top style="thin">
        <x:color rgb="FF234E3F"/>
      </x:top>
      <x:bottom style="thin">
        <x:color rgb="FF234E3F"/>
      </x:bottom>
    </x:border>
    <x:border>
      <x:right style="thin">
        <x:color rgb="FF234E3F"/>
      </x:right>
      <x:top style="thin">
        <x:color rgb="FF234E3F"/>
      </x:top>
      <x:bottom style="thin">
        <x:color rgb="FF234E3F"/>
      </x:bottom>
    </x:border>
    <x:border>
      <x:bottom style="thin">
        <x:color rgb="FFE7E5E4"/>
      </x:bottom>
    </x:border>
    <x:border>
      <x:top style="thin">
        <x:color rgb="FFE7E5E4"/>
      </x:top>
      <x:bottom style="thin">
        <x:color rgb="FFE7E5E4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200" fontId="4" fillId="6" borderId="4" xfId="0" applyNumberFormat="1" applyFont="1" applyFill="1" applyBorder="1" applyAlignment="1">
      <x:alignment vertical="top" wrapText="1"/>
    </x:xf>
    <x:xf numFmtId="200" fontId="4" fillId="6" borderId="5" xfId="0" applyNumberFormat="1" applyFont="1" applyFill="1" applyBorder="1" applyAlignment="1">
      <x:alignment vertical="top" wrapText="1"/>
    </x:xf>
    <x:xf numFmtId="201" fontId="4" fillId="6" borderId="5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2" fontId="4" fillId="5" borderId="4" xfId="0" applyNumberFormat="1" applyFont="1" applyFill="1" applyBorder="1" applyAlignment="1">
      <x:alignment vertical="top" wrapText="1"/>
    </x:xf>
    <x:xf numFmtId="202" fontId="4" fillId="5" borderId="5" xfId="0" applyNumberFormat="1" applyFont="1" applyFill="1" applyBorder="1" applyAlignment="1">
      <x:alignment vertical="top" wrapText="1"/>
    </x:xf>
    <x:xf numFmtId="201" fontId="4" fillId="5" borderId="4" xfId="0" applyNumberFormat="1" applyFont="1" applyFill="1" applyBorder="1" applyAlignment="1">
      <x:alignment vertical="top" wrapText="1"/>
    </x:xf>
    <x:xf numFmtId="201" fontId="4" fillId="5" borderId="5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234E3F"/>
      </x:font>
      <x:fill>
        <x:patternFill patternType="solid">
          <x:bgColor rgb="FFD9EAD3"/>
        </x:patternFill>
      </x:fill>
    </x:dxf>
    <x:dxf>
      <x:font>
        <x:b/>
        <x:color rgb="FF7A4E00"/>
      </x:font>
      <x:fill>
        <x:patternFill patternType="solid">
          <x:bgColor rgb="FFFCE8B2"/>
        </x:patternFill>
      </x:fill>
    </x:dxf>
    <x:dxf>
      <x:font>
        <x:b/>
        <x:color rgb="FFB84A45"/>
      </x:font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99d0e6f7204299" /><Relationship Type="http://schemas.openxmlformats.org/officeDocument/2006/relationships/theme" Target="/xl/theme/theme1.xml" Id="R4fcf816626834a2e" /><Relationship Type="http://schemas.openxmlformats.org/officeDocument/2006/relationships/sharedStrings" Target="/xl/sharedStrings.xml" Id="Rbe777e562def4f73" /><Relationship Type="http://schemas.openxmlformats.org/officeDocument/2006/relationships/worksheet" Target="/xl/worksheets/sheet1.xml" Id="R9423bd1bfc34422b" /><Relationship Type="http://schemas.openxmlformats.org/officeDocument/2006/relationships/worksheet" Target="/xl/worksheets/sheet2.xml" Id="Ra835946f32a544e3" /><Relationship Type="http://schemas.openxmlformats.org/officeDocument/2006/relationships/worksheet" Target="/xl/worksheets/sheet3.xml" Id="R6131da5bcfd04739" /><Relationship Type="http://schemas.openxmlformats.org/officeDocument/2006/relationships/worksheet" Target="/xl/worksheets/sheet4.xml" Id="R4f7575c9a1304b22" /><Relationship Type="http://schemas.openxmlformats.org/officeDocument/2006/relationships/worksheet" Target="/xl/worksheets/sheet5.xml" Id="R5e43faceb4634a59" /><Relationship Type="http://schemas.openxmlformats.org/officeDocument/2006/relationships/worksheet" Target="/xl/worksheets/sheet6.xml" Id="R0ad6ea1156584bd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39edea7e7d04b6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對話中可計價服務候選（類別可重疊）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unique conversations</c:v>
          </c:tx>
          <c:cat>
            <c:strRef>
              <c:f>'毛利機會總覽'!$F$5:$F$13</c:f>
              <c:strCache>
                <c:ptCount val="0"/>
              </c:strCache>
            </c:strRef>
          </c:cat>
          <c:val>
            <c:numRef>
              <c:f>'毛利機會總覽'!$G$5:$G$13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15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9edea7e7d04b6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ddonCatalogTable" displayName="AddonCatalogTable" ref="A5:N29" headerRowCount="1" totalsRowCount="0" totalsRowShown="0">
  <x:tableColumns count="14">
    <x:tableColumn id="1" name="addon_id"/>
    <x:tableColumn id="2" name="對話分類"/>
    <x:tableColumn id="3" name="對客品名"/>
    <x:tableColumn id="4" name="標準內含範圍"/>
    <x:tableColumn id="5" name="可計費觸發"/>
    <x:tableColumn id="6" name="單位"/>
    <x:tableColumn id="7" name="公開市場樣本"/>
    <x:tableColumn id="8" name="MAPLAB 建議模型"/>
    <x:tableColumn id="9" name="最低收費"/>
    <x:tableColumn id="10" name="建議低"/>
    <x:tableColumn id="11" name="建議高"/>
    <x:tableColumn id="12" name="信心"/>
    <x:tableColumn id="13" name="Owner status"/>
    <x:tableColumn id="14" name="來源與備註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versationSignalsTable" displayName="ConversationSignalsTable" ref="A5:E14" headerRowCount="1" totalsRowCount="0" totalsRowShown="0">
  <x:tableColumns count="5">
    <x:tableColumn id="1" name="category"/>
    <x:tableColumn id="2" name="人話分類"/>
    <x:tableColumn id="3" name="matched_rows"/>
    <x:tableColumn id="4" name="unique_conversations"/>
    <x:tableColumn id="5" name="解讀邊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rginLeakAuditTable" displayName="MarginLeakAuditTable" ref="A5:AF205" headerRowCount="1" totalsRowCount="0" totalsRowShown="0">
  <x:tableColumns count="32">
    <x:tableColumn id="1" name="leak_id"/>
    <x:tableColumn id="2" name="case_id_hash"/>
    <x:tableColumn id="3" name="quote_id"/>
    <x:tableColumn id="4" name="日期"/>
    <x:tableColumn id="5" name="來源"/>
    <x:tableColumn id="6" name="category"/>
    <x:tableColumn id="7" name="addon_id"/>
    <x:tableColumn id="8" name="baseline_scope"/>
    <x:tableColumn id="9" name="requested_scope"/>
    <x:tableColumn id="10" name="evidence_hash/path"/>
    <x:tableColumn id="11" name="staff_count"/>
    <x:tableColumn id="12" name="labor_hours"/>
    <x:tableColumn id="13" name="admin_hours"/>
    <x:tableColumn id="14" name="material_cost"/>
    <x:tableColumn id="15" name="vendor_cost"/>
    <x:tableColumn id="16" name="equipment_cost"/>
    <x:tableColumn id="17" name="transport_cost"/>
    <x:tableColumn id="18" name="parking_tolls"/>
    <x:tableColumn id="19" name="waste_cost"/>
    <x:tableColumn id="20" name="risk_reserve"/>
    <x:tableColumn id="21" name="target_margin"/>
    <x:tableColumn id="22" name="fully_loaded_cost"/>
    <x:tableColumn id="23" name="price_floor"/>
    <x:tableColumn id="24" name="minimum_charge"/>
    <x:tableColumn id="25" name="recommended_fee"/>
    <x:tableColumn id="26" name="charged_fee"/>
    <x:tableColumn id="27" name="unbilled_leakage"/>
    <x:tableColumn id="28" name="decision_status"/>
    <x:tableColumn id="29" name="waiver_reason"/>
    <x:tableColumn id="30" name="review_owner"/>
    <x:tableColumn id="31" name="reviewed_at"/>
    <x:tableColumn id="32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EvidenceTable" displayName="SourceEvidenceTable" ref="A5:G20" headerRowCount="1" totalsRowCount="0" totalsRowShown="0">
  <x:tableColumns count="7">
    <x:tableColumn id="1" name="類型"/>
    <x:tableColumn id="2" name="來源"/>
    <x:tableColumn id="3" name="支持的事實"/>
    <x:tableColumn id="4" name="URL／路徑"/>
    <x:tableColumn id="5" name="查核日"/>
    <x:tableColumn id="6" name="可靠度"/>
    <x:tableColumn id="7" name="用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16faf9175eb4b8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47e2679e9984b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e3ca9d99844b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8c7727cd8c40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fc6f10336dcc4d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22" hidden="0" customWidth="1"/>
    <x:col min="4" max="4" width="64" hidden="0" customWidth="1"/>
    <x:col min="6" max="6" width="28" hidden="0" customWidth="1"/>
    <x:col min="7" max="7" width="20" hidden="0" customWidth="1"/>
    <x:col min="8" max="8" width="20" hidden="0" customWidth="1"/>
    <x:col min="9" max="9" width="44" hidden="0" customWidth="1"/>
    <x:col min="10" max="10" width="20" hidden="0" customWidth="1"/>
  </x:cols>
  <x:sheetData>
    <x:row r="1" ht="28" customHeight="1">
      <x:c r="A1" s="38" t="str">
        <x:v>MAPLAB 毛利機會總覽</x:v>
      </x:c>
      <x:c r="B1" s="38"/>
      <x:c r="C1" s="38"/>
      <x:c r="D1" s="38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7" t="str">
        <x:v>先把做得到、實際做過、但尚未產品化計價的服務變成 catalog；不把每個客戶要求都當成可收費。 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6" t="str">
        <x:v>指標</x:v>
      </x:c>
      <x:c r="B4" s="17" t="str">
        <x:v>數值</x:v>
      </x:c>
      <x:c r="C4" s="17" t="str">
        <x:v>狀態</x:v>
      </x:c>
      <x:c r="D4" s="18" t="str">
        <x:v>解讀</x:v>
      </x:c>
      <x:c r="F4" s="16" t="str">
        <x:v>對話候選分類</x:v>
      </x:c>
      <x:c r="G4" s="17" t="str">
        <x:v>unique conversations</x:v>
      </x:c>
      <x:c r="H4" s="17" t="str">
        <x:v>matched rows</x:v>
      </x:c>
      <x:c r="I4" s="17" t="str">
        <x:v>注意</x:v>
      </x:c>
      <x:c r="J4" s="18" t="str">
        <x:v>狀態</x:v>
      </x:c>
    </x:row>
    <x:row r="5">
      <x:c r="A5" s="25" t="str">
        <x:v>初篩 LINE 對話數</x:v>
      </x:c>
      <x:c r="B5" s="34" t="n">
        <x:v>2491</x:v>
      </x:c>
      <x:c r="C5" s="25" t="str">
        <x:v>CANDIDATE</x:v>
      </x:c>
      <x:c r="D5" s="25" t="str">
        <x:v>類別重疊；不是漏收案件數</x:v>
      </x:c>
      <x:c r="F5" s="25" t="str">
        <x:v>客製／主題／品牌細節</x:v>
      </x:c>
      <x:c r="G5" s="25" t="n">
        <x:v>972</x:v>
      </x:c>
      <x:c r="H5" s="25" t="n">
        <x:v>1419</x:v>
      </x:c>
      <x:c r="I5" s="25" t="str">
        <x:v>造型、花藝、Logo、試作等；候選訊號，不等於可收費</x:v>
      </x:c>
      <x:c r="J5" s="25" t="str">
        <x:v>NEEDS_REVIEW</x:v>
      </x:c>
    </x:row>
    <x:row r="6">
      <x:c r="A6" s="26" t="str">
        <x:v>候選加價服務</x:v>
      </x:c>
      <x:c r="B6" s="35" t="n">
        <x:v>24</x:v>
      </x:c>
      <x:c r="C6" s="26" t="str">
        <x:v>OWNER_REVIEW</x:v>
      </x:c>
      <x:c r="D6" s="26" t="str">
        <x:v>正式價目上線前需 scope reconcile</x:v>
      </x:c>
      <x:c r="F6" s="26" t="str">
        <x:v>統包／第三方協調</x:v>
      </x:c>
      <x:c r="G6" s="26" t="n">
        <x:v>686</x:v>
      </x:c>
      <x:c r="H6" s="26" t="n">
        <x:v>838</x:v>
      </x:c>
      <x:c r="I6" s="26" t="str">
        <x:v>場地、花藝、音響、行政代辦等；vendor 字詞可能有誤報</x:v>
      </x:c>
      <x:c r="J6" s="26" t="str">
        <x:v>NEEDS_REVIEW</x:v>
      </x:c>
    </x:row>
    <x:row r="7">
      <x:c r="A7" s="26" t="str">
        <x:v>已核准正式價目</x:v>
      </x:c>
      <x:c r="B7" s="35" t="n">
        <x:v>0</x:v>
      </x:c>
      <x:c r="C7" s="26" t="str">
        <x:v>NOT_LIVE</x:v>
      </x:c>
      <x:c r="D7" s="26" t="str">
        <x:v>本表未修改正式 Sheets／GAS</x:v>
      </x:c>
      <x:c r="F7" s="26" t="str">
        <x:v>搬運／樓層／卸貨</x:v>
      </x:c>
      <x:c r="G7" s="26" t="n">
        <x:v>455</x:v>
      </x:c>
      <x:c r="H7" s="26" t="n">
        <x:v>561</x:v>
      </x:c>
      <x:c r="I7" s="26" t="str">
        <x:v>樓梯、無電梯、停車、偏遠或多點</x:v>
      </x:c>
      <x:c r="J7" s="26" t="str">
        <x:v>NEEDS_REVIEW</x:v>
      </x:c>
    </x:row>
    <x:row r="8">
      <x:c r="A8" s="26" t="str">
        <x:v>高信心市場錨點</x:v>
      </x:c>
      <x:c r="B8" s="35" t="n">
        <x:v>8</x:v>
      </x:c>
      <x:c r="C8" s="26" t="str">
        <x:v>EVIDENCE</x:v>
      </x:c>
      <x:c r="D8" s="26" t="str">
        <x:v>有多個公開拆項價或內外證據交叉</x:v>
      </x:c>
      <x:c r="F8" s="26" t="str">
        <x:v>追加／變更／修改</x:v>
      </x:c>
      <x:c r="G8" s="26" t="n">
        <x:v>363</x:v>
      </x:c>
      <x:c r="H8" s="26" t="n">
        <x:v>589</x:v>
      </x:c>
      <x:c r="I8" s="26" t="str">
        <x:v>需核對是否超過合約內含 2 次修改</x:v>
      </x:c>
      <x:c r="J8" s="26" t="str">
        <x:v>NEEDS_REVIEW</x:v>
      </x:c>
    </x:row>
    <x:row r="9">
      <x:c r="A9" s="26" t="str">
        <x:v>目前已確認漏收金額</x:v>
      </x:c>
      <x:c r="B9" s="35" t="n">
        <x:v>0</x:v>
      </x:c>
      <x:c r="C9" s="26" t="str">
        <x:v>NOT_YET_AUDITED</x:v>
      </x:c>
      <x:c r="D9" s="26" t="str">
        <x:v>需把對話、報價、實際交付與付款 join 後才能計算</x:v>
      </x:c>
      <x:c r="F9" s="26" t="str">
        <x:v>設備／桌椅／器皿</x:v>
      </x:c>
      <x:c r="G9" s="26" t="n">
        <x:v>348</x:v>
      </x:c>
      <x:c r="H9" s="26" t="n">
        <x:v>602</x:v>
      </x:c>
      <x:c r="I9" s="26" t="str">
        <x:v>需先定義標準內含量，避免重複收費</x:v>
      </x:c>
      <x:c r="J9" s="26" t="str">
        <x:v>NEEDS_REVIEW</x:v>
      </x:c>
    </x:row>
    <x:row r="10">
      <x:c r="F10" s="26" t="str">
        <x:v>急件／等待／特殊時段</x:v>
      </x:c>
      <x:c r="G10" s="26" t="n">
        <x:v>269</x:v>
      </x:c>
      <x:c r="H10" s="26" t="n">
        <x:v>477</x:v>
      </x:c>
      <x:c r="I10" s="26" t="str">
        <x:v>急件字詞占多數；需核對真正 lead time</x:v>
      </x:c>
      <x:c r="J10" s="26" t="str">
        <x:v>NEEDS_REVIEW</x:v>
      </x:c>
    </x:row>
    <x:row r="11">
      <x:c r="F11" s="26" t="str">
        <x:v>特殊飲食分流</x:v>
      </x:c>
      <x:c r="G11" s="26" t="n">
        <x:v>104</x:v>
      </x:c>
      <x:c r="H11" s="26" t="n">
        <x:v>154</x:v>
      </x:c>
      <x:c r="I11" s="26" t="str">
        <x:v>只在獨立製作、包裝、標示產生額外成本時列費</x:v>
      </x:c>
      <x:c r="J11" s="26" t="str">
        <x:v>NEEDS_REVIEW</x:v>
      </x:c>
    </x:row>
    <x:row r="12">
      <x:c r="A12" s="16" t="str">
        <x:v>第一批應產品化</x:v>
      </x:c>
      <x:c r="B12" s="17" t="str">
        <x:v>為什麼</x:v>
      </x:c>
      <x:c r="C12" s="17" t="str">
        <x:v>建議先做</x:v>
      </x:c>
      <x:c r="D12" s="18" t="str">
        <x:v>不得做</x:v>
      </x:c>
      <x:c r="F12" s="26" t="str">
        <x:v>駐場／巡場服務</x:v>
      </x:c>
      <x:c r="G12" s="26" t="n">
        <x:v>75</x:v>
      </x:c>
      <x:c r="H12" s="26" t="n">
        <x:v>110</x:v>
      </x:c>
      <x:c r="I12" s="26" t="str">
        <x:v>服務人員、補餐、倒酒、Tray-passed</x:v>
      </x:c>
      <x:c r="J12" s="26" t="str">
        <x:v>NEEDS_REVIEW</x:v>
      </x:c>
    </x:row>
    <x:row r="13">
      <x:c r="A13" s="25" t="str">
        <x:v>駐場／Tray-passed</x:v>
      </x:c>
      <x:c r="B13" s="25" t="str">
        <x:v>IG 已公開展示且市場普遍拆項</x:v>
      </x:c>
      <x:c r="C13" s="25" t="str">
        <x:v>人數×時數×人力規則</x:v>
      </x:c>
      <x:c r="D13" s="25" t="str">
        <x:v>默認免費駐場</x:v>
      </x:c>
      <x:c r="F13" s="26" t="str">
        <x:v>垃圾／清潔／復原</x:v>
      </x:c>
      <x:c r="G13" s="26" t="n">
        <x:v>44</x:v>
      </x:c>
      <x:c r="H13" s="26" t="n">
        <x:v>56</x:v>
      </x:c>
      <x:c r="I13" s="26" t="str">
        <x:v>垃圾帶走與場地復原必須拆成兩項</x:v>
      </x:c>
      <x:c r="J13" s="26" t="str">
        <x:v>NEEDS_REVIEW</x:v>
      </x:c>
    </x:row>
    <x:row r="14">
      <x:c r="A14" s="26" t="str">
        <x:v>樓層／搬運／等候</x:v>
      </x:c>
      <x:c r="B14" s="26" t="str">
        <x:v>對話訊號高、內部價格漂移</x:v>
      </x:c>
      <x:c r="C14" s="26" t="str">
        <x:v>統一 500／800／1000 衝突</x:v>
      </x:c>
      <x:c r="D14" s="26" t="str">
        <x:v>事後臨時加價</x:v>
      </x:c>
    </x:row>
    <x:row r="15">
      <x:c r="A15" s="26" t="str">
        <x:v>Logo／鮮花／品牌陳列</x:v>
      </x:c>
      <x:c r="B15" s="26" t="str">
        <x:v>已實際交付但未成 catalog</x:v>
      </x:c>
      <x:c r="C15" s="26" t="str">
        <x:v>第三方實支＋明示管理費</x:v>
      </x:c>
      <x:c r="D15" s="26" t="str">
        <x:v>把基本陳列重複收費</x:v>
      </x:c>
    </x:row>
    <x:row r="16">
      <x:c r="A16" s="26" t="str">
        <x:v>垃圾與場地復原</x:v>
      </x:c>
      <x:c r="B16" s="26" t="str">
        <x:v>責任最易膨脹</x:v>
      </x:c>
      <x:c r="C16" s="26" t="str">
        <x:v>分成『載走』與『清潔復原』</x:v>
      </x:c>
      <x:c r="D16" s="26" t="str">
        <x:v>用一句『撤場』包全部</x:v>
      </x:c>
    </x:row>
    <x:row r="17">
      <x:c r="A17" s="26" t="str">
        <x:v>超過 2 次修改／確認後變更</x:v>
      </x:c>
      <x:c r="B17" s="26" t="str">
        <x:v>合約已允許另報</x:v>
      </x:c>
      <x:c r="C17" s="26" t="str">
        <x:v>變更單＋書面確認</x:v>
      </x:c>
      <x:c r="D17" s="26" t="str">
        <x:v>我方錯誤也收費</x:v>
      </x:c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316faf9175eb4b8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8" hidden="0" customWidth="1"/>
    <x:col min="4" max="4" width="42" hidden="0" customWidth="1"/>
    <x:col min="5" max="5" width="42" hidden="0" customWidth="1"/>
    <x:col min="6" max="6" width="18" hidden="0" customWidth="1"/>
    <x:col min="7" max="7" width="40" hidden="0" customWidth="1"/>
    <x:col min="8" max="8" width="40" hidden="0" customWidth="1"/>
    <x:col min="9" max="9" width="15" hidden="0" customWidth="1"/>
    <x:col min="10" max="10" width="15" hidden="0" customWidth="1"/>
    <x:col min="11" max="11" width="15" hidden="0" customWidth="1"/>
    <x:col min="12" max="12" width="22" hidden="0" customWidth="1"/>
    <x:col min="13" max="13" width="22" hidden="0" customWidth="1"/>
    <x:col min="14" max="14" width="62" hidden="0" customWidth="1"/>
  </x:cols>
  <x:sheetData>
    <x:row r="1" ht="28" customHeight="1">
      <x:c r="A1" s="3" t="str">
        <x:v>MAPLAB 隱藏成本／加價服務矩陣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7" t="str">
        <x:v>市場價是公開樣本，不是正式售價。先核對合約內含範圍，再以完全成本與目標毛利回推；Owner status 非 APPROVED 一律不可對客。 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5">
      <x:c r="A5" s="16" t="str">
        <x:v>addon_id</x:v>
      </x:c>
      <x:c r="B5" s="17" t="str">
        <x:v>對話分類</x:v>
      </x:c>
      <x:c r="C5" s="17" t="str">
        <x:v>對客品名</x:v>
      </x:c>
      <x:c r="D5" s="17" t="str">
        <x:v>標準內含範圍</x:v>
      </x:c>
      <x:c r="E5" s="17" t="str">
        <x:v>可計費觸發</x:v>
      </x:c>
      <x:c r="F5" s="17" t="str">
        <x:v>單位</x:v>
      </x:c>
      <x:c r="G5" s="17" t="str">
        <x:v>公開市場樣本</x:v>
      </x:c>
      <x:c r="H5" s="17" t="str">
        <x:v>MAPLAB 建議模型</x:v>
      </x:c>
      <x:c r="I5" s="17" t="str">
        <x:v>最低收費</x:v>
      </x:c>
      <x:c r="J5" s="17" t="str">
        <x:v>建議低</x:v>
      </x:c>
      <x:c r="K5" s="17" t="str">
        <x:v>建議高</x:v>
      </x:c>
      <x:c r="L5" s="17" t="str">
        <x:v>信心</x:v>
      </x:c>
      <x:c r="M5" s="17" t="str">
        <x:v>Owner status</x:v>
      </x:c>
      <x:c r="N5" s="18" t="str">
        <x:v>來源與備註</x:v>
      </x:c>
    </x:row>
    <x:row r="6">
      <x:c r="A6" s="25" t="str">
        <x:v>SVC-ONSITE-DAY</x:v>
      </x:c>
      <x:c r="B6" s="25" t="str">
        <x:v>onsite_service</x:v>
      </x:c>
      <x:c r="C6" s="25" t="str">
        <x:v>現場服務人員（日間）</x:v>
      </x:c>
      <x:c r="D6" s="25" t="str">
        <x:v>送達與基本陳列；是否含撤場須以個案合約為準</x:v>
      </x:c>
      <x:c r="E6" s="25" t="str">
        <x:v>駐場補餐、巡場遞送、倒酒或接待</x:v>
      </x:c>
      <x:c r="F6" s="25" t="str">
        <x:v>人／2小時</x:v>
      </x:c>
      <x:c r="G6" s="25" t="str">
        <x:v>1,200–2,000／人／2–3小時</x:v>
      </x:c>
      <x:c r="H6" s="25" t="str">
        <x:v>1,500／人／2小時；續時 600／人／小時</x:v>
      </x:c>
      <x:c r="I6" s="32" t="n">
        <x:v>1500</x:v>
      </x:c>
      <x:c r="J6" s="32" t="n">
        <x:v>1500</x:v>
      </x:c>
      <x:c r="K6" s="32" t="n">
        <x:v>2000</x:v>
      </x:c>
      <x:c r="L6" s="25" t="str">
        <x:v>HIGH</x:v>
      </x:c>
      <x:c r="M6" s="25" t="str">
        <x:v>PILOT_OWNER_REVIEW</x:v>
      </x:c>
      <x:c r="N6" s="25" t="str">
        <x:v>https://www.papagofood.com.tw/faq.php?cate=1&amp;cid= ; https://www.centuryfood.com.tw/about.php?CNo=10
IG 已公開展示四場一致 Tray-passed service，證明是可獨立交付服務</x:v>
      </x:c>
    </x:row>
    <x:row r="7">
      <x:c r="A7" s="26" t="str">
        <x:v>SVC-OVERTIME</x:v>
      </x:c>
      <x:c r="B7" s="26" t="str">
        <x:v>time_rush</x:v>
      </x:c>
      <x:c r="C7" s="26" t="str">
        <x:v>等待／延遲撤場／超時</x:v>
      </x:c>
      <x:c r="D7" s="26" t="str">
        <x:v>報價核准時段內的進撤場</x:v>
      </x:c>
      <x:c r="E7" s="26" t="str">
        <x:v>場地未開、流程延誤、要求待命或延長服務</x:v>
      </x:c>
      <x:c r="F7" s="26" t="str">
        <x:v>人／30分鐘</x:v>
      </x:c>
      <x:c r="G7" s="26" t="str">
        <x:v>約 125–300／人／30分鐘</x:v>
      </x:c>
      <x:c r="H7" s="26" t="str">
        <x:v>250–500／人／30分鐘；每次最低 500</x:v>
      </x:c>
      <x:c r="I7" s="33" t="n">
        <x:v>500</x:v>
      </x:c>
      <x:c r="J7" s="33" t="n">
        <x:v>250</x:v>
      </x:c>
      <x:c r="K7" s="33" t="n">
        <x:v>500</x:v>
      </x:c>
      <x:c r="L7" s="26" t="str">
        <x:v>HIGH</x:v>
      </x:c>
      <x:c r="M7" s="26" t="str">
        <x:v>PILOT_OWNER_REVIEW</x:v>
      </x:c>
      <x:c r="N7" s="26" t="str">
        <x:v>https://missfaithsbakery.mystrikingly.com/ordering ; https://www.papagofood.com.tw/faq.php?cate=1&amp;cid= ; https://yamiyami.com.tw/menu/
MAPLAB 內部已有 500／30分鐘錨點，需統一合約</x:v>
      </x:c>
    </x:row>
    <x:row r="8">
      <x:c r="A8" s="26" t="str">
        <x:v>LOG-STAIRS</x:v>
      </x:c>
      <x:c r="B8" s="26" t="str">
        <x:v>logistics_access</x:v>
      </x:c>
      <x:c r="C8" s="26" t="str">
        <x:v>無電梯樓層搬運</x:v>
      </x:c>
      <x:c r="D8" s="26" t="str">
        <x:v>平面或有可用電梯的正常卸貨動線</x:v>
      </x:c>
      <x:c r="E8" s="26" t="str">
        <x:v>無電梯、狹窄樓梯、跨樓層搬運</x:v>
      </x:c>
      <x:c r="F8" s="26" t="str">
        <x:v>每層／每批</x:v>
      </x:c>
      <x:c r="G8" s="26" t="str">
        <x:v>300–1,000／層</x:v>
      </x:c>
      <x:c r="H8" s="26" t="str">
        <x:v>事前告知 800／層；當日才告知 1,000／層</x:v>
      </x:c>
      <x:c r="I8" s="33" t="n">
        <x:v>800</x:v>
      </x:c>
      <x:c r="J8" s="33" t="n">
        <x:v>800</x:v>
      </x:c>
      <x:c r="K8" s="33" t="n">
        <x:v>1000</x:v>
      </x:c>
      <x:c r="L8" s="26" t="str">
        <x:v>HIGH</x:v>
      </x:c>
      <x:c r="M8" s="26" t="str">
        <x:v>SCOPE_RECONCILE</x:v>
      </x:c>
      <x:c r="N8" s="26" t="str">
        <x:v>https://missfaithsbakery.mystrikingly.com/ordering
目前程式、合約與歷史案例有 500／800／1,000 三種版本，先統一再上線</x:v>
      </x:c>
    </x:row>
    <x:row r="9">
      <x:c r="A9" s="26" t="str">
        <x:v>LOG-UNLOAD</x:v>
      </x:c>
      <x:c r="B9" s="26" t="str">
        <x:v>logistics_access</x:v>
      </x:c>
      <x:c r="C9" s="26" t="str">
        <x:v>困難卸貨／停車／遠距搬運</x:v>
      </x:c>
      <x:c r="D9" s="26" t="str">
        <x:v>可臨停並在合理距離卸貨</x:v>
      </x:c>
      <x:c r="E9" s="26" t="str">
        <x:v>無卸貨區、付費停車、需人力長距離搬運</x:v>
      </x:c>
      <x:c r="F9" s="26" t="str">
        <x:v>實支＋人時</x:v>
      </x:c>
      <x:c r="G9" s="26" t="str">
        <x:v>公開業者多採另報或實支</x:v>
      </x:c>
      <x:c r="H9" s="26" t="str">
        <x:v>停車實支＋搬運工時；行政最低 300</x:v>
      </x:c>
      <x:c r="I9" s="33" t="n">
        <x:v>300</x:v>
      </x:c>
      <x:c r="J9" s="33" t="n">
        <x:v>300</x:v>
      </x:c>
      <x:c r="K9" s="33" t="n">
        <x:v>800</x:v>
      </x:c>
      <x:c r="L9" s="26" t="str">
        <x:v>MEDIUM</x:v>
      </x:c>
      <x:c r="M9" s="26" t="str">
        <x:v>PILOT_OWNER_REVIEW</x:v>
      </x:c>
      <x:c r="N9" s="26" t="str">
        <x:v>https://www.pro360.com.tw/price/catering ; https://www.paultaiwan.com/party
保留停車收據；不可把一般停車一律灌成固定費</x:v>
      </x:c>
    </x:row>
    <x:row r="10">
      <x:c r="A10" s="26" t="str">
        <x:v>LOG-OUTZONE</x:v>
      </x:c>
      <x:c r="B10" s="26" t="str">
        <x:v>logistics_access</x:v>
      </x:c>
      <x:c r="C10" s="26" t="str">
        <x:v>跨區／跨縣市運送</x:v>
      </x:c>
      <x:c r="D10" s="26" t="str">
        <x:v>台南市或合約載明免費區域</x:v>
      </x:c>
      <x:c r="E10" s="26" t="str">
        <x:v>超過 30 分鐘、跨縣市、冷藏車或需往返回收</x:v>
      </x:c>
      <x:c r="F10" s="26" t="str">
        <x:v>每車次／公里</x:v>
      </x:c>
      <x:c r="G10" s="26" t="str">
        <x:v>100／km、2,000 來回、非核心區 8,000 等不同樣本</x:v>
      </x:c>
      <x:c r="H10" s="26" t="str">
        <x:v>沿用成本公式並設最低 1,000；遠距 1,000–3,000 起另報</x:v>
      </x:c>
      <x:c r="I10" s="33" t="n">
        <x:v>1000</x:v>
      </x:c>
      <x:c r="J10" s="33" t="n">
        <x:v>1000</x:v>
      </x:c>
      <x:c r="K10" s="33" t="n">
        <x:v>3000</x:v>
      </x:c>
      <x:c r="L10" s="26" t="str">
        <x:v>MEDIUM</x:v>
      </x:c>
      <x:c r="M10" s="26" t="str">
        <x:v>SCOPE_RECONCILE</x:v>
      </x:c>
      <x:c r="N10" s="26" t="str">
        <x:v>https://yamiyami.com.tw/menu/ ; https://www.paultaiwan.com/party ; https://www.hotelroyal.com.tw/Files/Documents/IJb20250207010604972.pdf
現行內部公式與公開市場差距大，須以車次、回收與人時校正</x:v>
      </x:c>
    </x:row>
    <x:row r="11">
      <x:c r="A11" s="26" t="str">
        <x:v>LOG-MULTISTOP</x:v>
      </x:c>
      <x:c r="B11" s="26" t="str">
        <x:v>logistics_access</x:v>
      </x:c>
      <x:c r="C11" s="26" t="str">
        <x:v>多地址／分批配送</x:v>
      </x:c>
      <x:c r="D11" s="26" t="str">
        <x:v>單一地址、單一時段</x:v>
      </x:c>
      <x:c r="E11" s="26" t="str">
        <x:v>追加地址、分批到貨或二次進撤場</x:v>
      </x:c>
      <x:c r="F11" s="26" t="str">
        <x:v>每追加地址／車次</x:v>
      </x:c>
      <x:c r="G11" s="26" t="str">
        <x:v>一般配送樣本 150–350／址，非完整外燴</x:v>
      </x:c>
      <x:c r="H11" s="26" t="str">
        <x:v>每追加地址 800–1,500，再加實際運送</x:v>
      </x:c>
      <x:c r="I11" s="33" t="n">
        <x:v>800</x:v>
      </x:c>
      <x:c r="J11" s="33" t="n">
        <x:v>800</x:v>
      </x:c>
      <x:c r="K11" s="33" t="n">
        <x:v>1500</x:v>
      </x:c>
      <x:c r="L11" s="26" t="str">
        <x:v>LOW</x:v>
      </x:c>
      <x:c r="M11" s="26" t="str">
        <x:v>PILOT_OWNER_REVIEW</x:v>
      </x:c>
      <x:c r="N11" s="26" t="str">
        <x:v>https://www.bestoilrice.com.tw/fare/
公開來源不是南部完整外燴，只支持多點不等於一次配送</x:v>
      </x:c>
    </x:row>
    <x:row r="12">
      <x:c r="A12" s="26" t="str">
        <x:v>CLN-WASTE</x:v>
      </x:c>
      <x:c r="B12" s="26" t="str">
        <x:v>cleanup_waste</x:v>
      </x:c>
      <x:c r="C12" s="26" t="str">
        <x:v>垃圾／廚餘打包與載走</x:v>
      </x:c>
      <x:c r="D12" s="26" t="str">
        <x:v>餐飲區基本收整；是否含垃圾須寫清楚</x:v>
      </x:c>
      <x:c r="E12" s="26" t="str">
        <x:v>要求分類、打包、搬運並載離現場</x:v>
      </x:c>
      <x:c r="F12" s="26" t="str">
        <x:v>訂單比例／車次</x:v>
      </x:c>
      <x:c r="G12" s="26" t="str">
        <x:v>訂單總額 10% 的公開樣本</x:v>
      </x:c>
      <x:c r="H12" s="26" t="str">
        <x:v>訂單 8–10%；每案最低 1,500</x:v>
      </x:c>
      <x:c r="I12" s="33" t="n">
        <x:v>1500</x:v>
      </x:c>
      <x:c r="J12" s="33" t="n">
        <x:v>1500</x:v>
      </x:c>
      <x:c r="K12" s="33" t="n">
        <x:v>5000</x:v>
      </x:c>
      <x:c r="L12" s="26" t="str">
        <x:v>HIGH</x:v>
      </x:c>
      <x:c r="M12" s="26" t="str">
        <x:v>PILOT_OWNER_REVIEW</x:v>
      </x:c>
      <x:c r="N12" s="26" t="str">
        <x:v>https://www.papagofood.com.tw/faq.php?cate=1&amp;cid=
垃圾載走與場地清潔復原不可混成同一承諾</x:v>
      </x:c>
    </x:row>
    <x:row r="13">
      <x:c r="A13" s="26" t="str">
        <x:v>CLN-RESTORE</x:v>
      </x:c>
      <x:c r="B13" s="26" t="str">
        <x:v>cleanup_waste</x:v>
      </x:c>
      <x:c r="C13" s="26" t="str">
        <x:v>場地清潔／復原</x:v>
      </x:c>
      <x:c r="D13" s="26" t="str">
        <x:v>僅餐檯與我方作業區正常撤場</x:v>
      </x:c>
      <x:c r="E13" s="26" t="str">
        <x:v>清掃地面、油污處理、移動復原非我方物件</x:v>
      </x:c>
      <x:c r="F13" s="26" t="str">
        <x:v>人時／區域</x:v>
      </x:c>
      <x:c r="G13" s="26" t="str">
        <x:v>多數業者另報，未找到南部固定價</x:v>
      </x:c>
      <x:c r="H13" s="26" t="str">
        <x:v>完全負擔人時回推；最低 2,500</x:v>
      </x:c>
      <x:c r="I13" s="33" t="n">
        <x:v>2500</x:v>
      </x:c>
      <x:c r="J13" s="33" t="n">
        <x:v>2500</x:v>
      </x:c>
      <x:c r="K13" s="33" t="n">
        <x:v>6000</x:v>
      </x:c>
      <x:c r="L13" s="26" t="str">
        <x:v>LOW</x:v>
      </x:c>
      <x:c r="M13" s="26" t="str">
        <x:v>PILOT_OWNER_REVIEW</x:v>
      </x:c>
      <x:c r="N13" s="26" t="str">
        <x:v>https://www.papagofood.com.tw/faq.php?cate=1&amp;cid=
先定義責任區域與完成標準</x:v>
      </x:c>
    </x:row>
    <x:row r="14">
      <x:c r="A14" s="26" t="str">
        <x:v>TIM-RUSH</x:v>
      </x:c>
      <x:c r="B14" s="26" t="str">
        <x:v>time_rush</x:v>
      </x:c>
      <x:c r="C14" s="26" t="str">
        <x:v>急件處理費</x:v>
      </x:c>
      <x:c r="D14" s="26" t="str">
        <x:v>正常 lead time 內確認</x:v>
      </x:c>
      <x:c r="E14" s="26" t="str">
        <x:v>活動前三天內才確認，或已排程後重大變更</x:v>
      </x:c>
      <x:c r="F14" s="26" t="str">
        <x:v>每案／提前天數</x:v>
      </x:c>
      <x:c r="G14" s="26" t="str">
        <x:v>前三天 1,000、前兩天 2,000、前一天 3,000</x:v>
      </x:c>
      <x:c r="H14" s="26" t="str">
        <x:v>1,000／2,000／3,000 分級</x:v>
      </x:c>
      <x:c r="I14" s="33" t="n">
        <x:v>1000</x:v>
      </x:c>
      <x:c r="J14" s="33" t="n">
        <x:v>1000</x:v>
      </x:c>
      <x:c r="K14" s="33" t="n">
        <x:v>3000</x:v>
      </x:c>
      <x:c r="L14" s="26" t="str">
        <x:v>MEDIUM</x:v>
      </x:c>
      <x:c r="M14" s="26" t="str">
        <x:v>PILOT_OWNER_REVIEW</x:v>
      </x:c>
      <x:c r="N14" s="26" t="str">
        <x:v>https://missfaithsbakery.mystrikingly.com/ordering
單一北部樣本，結構可採、金額需用 MAPLAB 加班成本校正</x:v>
      </x:c>
    </x:row>
    <x:row r="15">
      <x:c r="A15" s="26" t="str">
        <x:v>TIM-NIGHT</x:v>
      </x:c>
      <x:c r="B15" s="26" t="str">
        <x:v>time_rush</x:v>
      </x:c>
      <x:c r="C15" s="26" t="str">
        <x:v>夜間／清晨／假日附加</x:v>
      </x:c>
      <x:c r="D15" s="26" t="str">
        <x:v>一般工作時段</x:v>
      </x:c>
      <x:c r="E15" s="26" t="str">
        <x:v>夜間、清晨、國定假日或連假服務</x:v>
      </x:c>
      <x:c r="F15" s="26" t="str">
        <x:v>固定附加／人力倍率</x:v>
      </x:c>
      <x:c r="G15" s="26" t="str">
        <x:v>小額假日 1,000；夜間多採另報</x:v>
      </x:c>
      <x:c r="H15" s="26" t="str">
        <x:v>基本 1,000，或人力 1.25 倍，取高者</x:v>
      </x:c>
      <x:c r="I15" s="33" t="n">
        <x:v>1000</x:v>
      </x:c>
      <x:c r="J15" s="33" t="n">
        <x:v>1000</x:v>
      </x:c>
      <x:c r="K15" s="33" t="n">
        <x:v>3000</x:v>
      </x:c>
      <x:c r="L15" s="26" t="str">
        <x:v>LOW</x:v>
      </x:c>
      <x:c r="M15" s="26" t="str">
        <x:v>PILOT_OWNER_REVIEW</x:v>
      </x:c>
      <x:c r="N15" s="26" t="str">
        <x:v>https://missfaithsbakery.mystrikingly.com/ordering ; https://www.paultaiwan.com/party
不得把同一夜間成本同時收固定費與重複人力加成</x:v>
      </x:c>
    </x:row>
    <x:row r="16">
      <x:c r="A16" s="26" t="str">
        <x:v>EQP-TABLE</x:v>
      </x:c>
      <x:c r="B16" s="26" t="str">
        <x:v>equipment_consumables</x:v>
      </x:c>
      <x:c r="C16" s="26" t="str">
        <x:v>外燴長桌租借</x:v>
      </x:c>
      <x:c r="D16" s="26" t="str">
        <x:v>歷史部分方案曾含基本桌數，須明列標準內含量</x:v>
      </x:c>
      <x:c r="E16" s="26" t="str">
        <x:v>超出內含量或場地完全不供桌</x:v>
      </x:c>
      <x:c r="F16" s="26" t="str">
        <x:v>張／場</x:v>
      </x:c>
      <x:c r="G16" s="26" t="str">
        <x:v>200–1,000／張</x:v>
      </x:c>
      <x:c r="H16" s="26" t="str">
        <x:v>400–450／張；運回另計</x:v>
      </x:c>
      <x:c r="I16" s="33" t="n">
        <x:v>400</x:v>
      </x:c>
      <x:c r="J16" s="33" t="n">
        <x:v>400</x:v>
      </x:c>
      <x:c r="K16" s="33" t="n">
        <x:v>450</x:v>
      </x:c>
      <x:c r="L16" s="26" t="str">
        <x:v>HIGH</x:v>
      </x:c>
      <x:c r="M16" s="26" t="str">
        <x:v>SCOPE_RECONCILE</x:v>
      </x:c>
      <x:c r="N16" s="26" t="str">
        <x:v>https://www.papagofood.com.tw/tableware.php?cate=188&amp;cid=4 ; https://yamiyami.com.tw/menu/
現行 GAS 350、歷史標準 400；先定唯一價格</x:v>
      </x:c>
    </x:row>
    <x:row r="17">
      <x:c r="A17" s="26" t="str">
        <x:v>EQP-CLOTH</x:v>
      </x:c>
      <x:c r="B17" s="26" t="str">
        <x:v>equipment_consumables</x:v>
      </x:c>
      <x:c r="C17" s="26" t="str">
        <x:v>桌巾超量／特殊色</x:v>
      </x:c>
      <x:c r="D17" s="26" t="str">
        <x:v>基本餐檯桌巾若方案已含</x:v>
      </x:c>
      <x:c r="E17" s="26" t="str">
        <x:v>超出內含張數、特殊色或額外清洗</x:v>
      </x:c>
      <x:c r="F17" s="26" t="str">
        <x:v>條／場</x:v>
      </x:c>
      <x:c r="G17" s="26" t="str">
        <x:v>100／條的公開樣本</x:v>
      </x:c>
      <x:c r="H17" s="26" t="str">
        <x:v>100–150／條</x:v>
      </x:c>
      <x:c r="I17" s="33" t="n">
        <x:v>100</x:v>
      </x:c>
      <x:c r="J17" s="33" t="n">
        <x:v>100</x:v>
      </x:c>
      <x:c r="K17" s="33" t="n">
        <x:v>150</x:v>
      </x:c>
      <x:c r="L17" s="26" t="str">
        <x:v>MEDIUM</x:v>
      </x:c>
      <x:c r="M17" s="26" t="str">
        <x:v>SCOPE_RECONCILE</x:v>
      </x:c>
      <x:c r="N17" s="26" t="str">
        <x:v>https://yamiyami.com.tw/menu/
若基本桌巾已含，不得重複收</x:v>
      </x:c>
    </x:row>
    <x:row r="18">
      <x:c r="A18" s="26" t="str">
        <x:v>EQP-CHAIR</x:v>
      </x:c>
      <x:c r="B18" s="26" t="str">
        <x:v>equipment_consumables</x:v>
      </x:c>
      <x:c r="C18" s="26" t="str">
        <x:v>椅子／圓凳租借</x:v>
      </x:c>
      <x:c r="D18" s="26" t="str">
        <x:v>一般外燴不含賓客座椅</x:v>
      </x:c>
      <x:c r="E18" s="26" t="str">
        <x:v>客戶要求我方代辦座椅</x:v>
      </x:c>
      <x:c r="F18" s="26" t="str">
        <x:v>張／場</x:v>
      </x:c>
      <x:c r="G18" s="26" t="str">
        <x:v>椅 60–100、圓凳 30</x:v>
      </x:c>
      <x:c r="H18" s="26" t="str">
        <x:v>椅 80–100；運送另計</x:v>
      </x:c>
      <x:c r="I18" s="33" t="n">
        <x:v>80</x:v>
      </x:c>
      <x:c r="J18" s="33" t="n">
        <x:v>80</x:v>
      </x:c>
      <x:c r="K18" s="33" t="n">
        <x:v>100</x:v>
      </x:c>
      <x:c r="L18" s="26" t="str">
        <x:v>HIGH</x:v>
      </x:c>
      <x:c r="M18" s="26" t="str">
        <x:v>PILOT_OWNER_REVIEW</x:v>
      </x:c>
      <x:c r="N18" s="26" t="str">
        <x:v>https://www.papagofood.com.tw/tableware.php?cate=188&amp;cid=4 ; https://www.hotelroyal.com.tw/Files/Documents/IJb20250207010604972.pdf
大型數量先走 vendor 報價</x:v>
      </x:c>
    </x:row>
    <x:row r="19">
      <x:c r="A19" s="26" t="str">
        <x:v>EQP-PREMIUM</x:v>
      </x:c>
      <x:c r="B19" s="26" t="str">
        <x:v>equipment_consumables</x:v>
      </x:c>
      <x:c r="C19" s="26" t="str">
        <x:v>陶瓷／玻璃精品餐具升級</x:v>
      </x:c>
      <x:c r="D19" s="26" t="str">
        <x:v>合約內含的一次性餐具數量</x:v>
      </x:c>
      <x:c r="E19" s="26" t="str">
        <x:v>改用可回收精品器皿、需清洗與破損管理</x:v>
      </x:c>
      <x:c r="F19" s="26" t="str">
        <x:v>人／場</x:v>
      </x:c>
      <x:c r="G19" s="26" t="str">
        <x:v>30–50／人</x:v>
      </x:c>
      <x:c r="H19" s="26" t="str">
        <x:v>40–60／人；最低 1,200，破損另計</x:v>
      </x:c>
      <x:c r="I19" s="33" t="n">
        <x:v>1200</x:v>
      </x:c>
      <x:c r="J19" s="33" t="n">
        <x:v>40</x:v>
      </x:c>
      <x:c r="K19" s="33" t="n">
        <x:v>60</x:v>
      </x:c>
      <x:c r="L19" s="26" t="str">
        <x:v>HIGH</x:v>
      </x:c>
      <x:c r="M19" s="26" t="str">
        <x:v>PILOT_OWNER_REVIEW</x:v>
      </x:c>
      <x:c r="N19" s="26" t="str">
        <x:v>https://www.shop2000.com.tw/%E7%86%8A%E6%84%9B%E7%9A%84%E8%8A%B1%E8%8B%91/product/p4011850 ; https://www.hotelroyal.com.tw/Files/Documents/IJb20250207010604972.pdf
加押金或破損條款，不以模糊『高級餐具』帶過</x:v>
      </x:c>
    </x:row>
    <x:row r="20">
      <x:c r="A20" s="26" t="str">
        <x:v>CUS-LOGO</x:v>
      </x:c>
      <x:c r="B20" s="26" t="str">
        <x:v>custom_scope</x:v>
      </x:c>
      <x:c r="C20" s="26" t="str">
        <x:v>企業 Logo 插旗／印刷物</x:v>
      </x:c>
      <x:c r="D20" s="26" t="str">
        <x:v>標準無品牌印刷物</x:v>
      </x:c>
      <x:c r="E20" s="26" t="str">
        <x:v>指定 Logo、版型、打樣與印刷</x:v>
      </x:c>
      <x:c r="F20" s="26" t="str">
        <x:v>批／版</x:v>
      </x:c>
      <x:c r="G20" s="26" t="str">
        <x:v>未找到可信南部固定價</x:v>
      </x:c>
      <x:c r="H20" s="26" t="str">
        <x:v>第三方實支＋15–20% 協調費；最低 800</x:v>
      </x:c>
      <x:c r="I20" s="33" t="n">
        <x:v>800</x:v>
      </x:c>
      <x:c r="J20" s="33" t="n">
        <x:v>800</x:v>
      </x:c>
      <x:c r="K20" s="33" t="n">
        <x:v>3000</x:v>
      </x:c>
      <x:c r="L20" s="26" t="str">
        <x:v>LOW</x:v>
      </x:c>
      <x:c r="M20" s="26" t="str">
        <x:v>PILOT_OWNER_REVIEW</x:v>
      </x:c>
      <x:c r="N20" s="26" t="str">
        <x:v>https://www.instagram.com/maplabkitchen/
IG AMD 案例明載『客製企業 Logo 食物小插旗』，應成為正式品項</x:v>
      </x:c>
    </x:row>
    <x:row r="21">
      <x:c r="A21" s="26" t="str">
        <x:v>CUS-FLORAL</x:v>
      </x:c>
      <x:c r="B21" s="26" t="str">
        <x:v>custom_scope</x:v>
      </x:c>
      <x:c r="C21" s="26" t="str">
        <x:v>鮮花／花藝加購</x:v>
      </x:c>
      <x:c r="D21" s="26" t="str">
        <x:v>歷史基本乾燥花或簡易陳列若方案已含</x:v>
      </x:c>
      <x:c r="E21" s="26" t="str">
        <x:v>指定鮮花、色系或超量造景</x:v>
      </x:c>
      <x:c r="F21" s="26" t="str">
        <x:v>案／組</x:v>
      </x:c>
      <x:c r="G21" s="26" t="str">
        <x:v>多數業者依花材與設計另報</x:v>
      </x:c>
      <x:c r="H21" s="26" t="str">
        <x:v>第三方實支＋15–20% 協調費；最低 1,200</x:v>
      </x:c>
      <x:c r="I21" s="33" t="n">
        <x:v>1200</x:v>
      </x:c>
      <x:c r="J21" s="33" t="n">
        <x:v>1200</x:v>
      </x:c>
      <x:c r="K21" s="33" t="n">
        <x:v>8000</x:v>
      </x:c>
      <x:c r="L21" s="26" t="str">
        <x:v>LOW</x:v>
      </x:c>
      <x:c r="M21" s="26" t="str">
        <x:v>SCOPE_RECONCILE</x:v>
      </x:c>
      <x:c r="N21" s="26" t="str">
        <x:v>https://www.instagram.com/maplabkitchen/
IG AMD 案例明載加購小鮮花；基本陳列與花藝升級要切清楚</x:v>
      </x:c>
    </x:row>
    <x:row r="22">
      <x:c r="A22" s="26" t="str">
        <x:v>CUS-BRAND-DESIGN</x:v>
      </x:c>
      <x:c r="B22" s="26" t="str">
        <x:v>custom_scope</x:v>
      </x:c>
      <x:c r="C22" s="26" t="str">
        <x:v>品牌調性菜單／陳列設計</x:v>
      </x:c>
      <x:c r="D22" s="26" t="str">
        <x:v>從既有品項選配與標準餐檯</x:v>
      </x:c>
      <x:c r="E22" s="26" t="str">
        <x:v>需依品牌、空間、色系重做菜單與器皿陳列</x:v>
      </x:c>
      <x:c r="F22" s="26" t="str">
        <x:v>設計案／工時</x:v>
      </x:c>
      <x:c r="G22" s="26" t="str">
        <x:v>市場多採場勘後另報</x:v>
      </x:c>
      <x:c r="H22" s="26" t="str">
        <x:v>設計與專案工時回推；最低 3,000，常見建議 3,000–8,000</x:v>
      </x:c>
      <x:c r="I22" s="33" t="n">
        <x:v>3000</x:v>
      </x:c>
      <x:c r="J22" s="33" t="n">
        <x:v>3000</x:v>
      </x:c>
      <x:c r="K22" s="33" t="n">
        <x:v>8000</x:v>
      </x:c>
      <x:c r="L22" s="26" t="str">
        <x:v>LOW</x:v>
      </x:c>
      <x:c r="M22" s="26" t="str">
        <x:v>PILOT_OWNER_REVIEW</x:v>
      </x:c>
      <x:c r="N22" s="26" t="str">
        <x:v>https://www.instagram.com/maplabkitchen/
IG Cléa 案例公開描述依品牌調性調整餐點、器皿與整體呈現</x:v>
      </x:c>
    </x:row>
    <x:row r="23">
      <x:c r="A23" s="26" t="str">
        <x:v>PM-SITE</x:v>
      </x:c>
      <x:c r="B23" s="26" t="str">
        <x:v>third_party_turnkey</x:v>
      </x:c>
      <x:c r="C23" s="26" t="str">
        <x:v>額外場勘／動線規劃</x:v>
      </x:c>
      <x:c r="D23" s="26" t="str">
        <x:v>一次基本線上需求確認</x:v>
      </x:c>
      <x:c r="E23" s="26" t="str">
        <x:v>第二次以上場勘、圖面、流程表或多方會議</x:v>
      </x:c>
      <x:c r="F23" s="26" t="str">
        <x:v>次／工時</x:v>
      </x:c>
      <x:c r="G23" s="26" t="str">
        <x:v>公開業者多為場勘後報價，無一致固定價</x:v>
      </x:c>
      <x:c r="H23" s="26" t="str">
        <x:v>1,500–3,000／次＋交通；成交可選擇折抵</x:v>
      </x:c>
      <x:c r="I23" s="33" t="n">
        <x:v>1500</x:v>
      </x:c>
      <x:c r="J23" s="33" t="n">
        <x:v>1500</x:v>
      </x:c>
      <x:c r="K23" s="33" t="n">
        <x:v>3000</x:v>
      </x:c>
      <x:c r="L23" s="26" t="str">
        <x:v>LOW</x:v>
      </x:c>
      <x:c r="M23" s="26" t="str">
        <x:v>PILOT_OWNER_REVIEW</x:v>
      </x:c>
      <x:c r="N23" s="26" t="str">
        <x:v>https://www.pro360.com.tw/price/catering
把可折抵規則寫進報價，避免口頭免費承諾</x:v>
      </x:c>
    </x:row>
    <x:row r="24">
      <x:c r="A24" s="26" t="str">
        <x:v>PM-REVISION</x:v>
      </x:c>
      <x:c r="B24" s="26" t="str">
        <x:v>revision_change_order</x:v>
      </x:c>
      <x:c r="C24" s="26" t="str">
        <x:v>超過內含次數的修改</x:v>
      </x:c>
      <x:c r="D24" s="26" t="str">
        <x:v>合約 v4 內含 2 次修改</x:v>
      </x:c>
      <x:c r="E24" s="26" t="str">
        <x:v>第 3 次起或已確認後重大變更</x:v>
      </x:c>
      <x:c r="F24" s="26" t="str">
        <x:v>次／變更單</x:v>
      </x:c>
      <x:c r="G24" s="26" t="str">
        <x:v>內部條款允許另報；未找到公開一致價</x:v>
      </x:c>
      <x:c r="H24" s="26" t="str">
        <x:v>1,000–2,000／次，或增量成本回推取高者</x:v>
      </x:c>
      <x:c r="I24" s="33" t="n">
        <x:v>1000</x:v>
      </x:c>
      <x:c r="J24" s="33" t="n">
        <x:v>1000</x:v>
      </x:c>
      <x:c r="K24" s="33" t="n">
        <x:v>2000</x:v>
      </x:c>
      <x:c r="L24" s="26" t="str">
        <x:v>MEDIUM</x:v>
      </x:c>
      <x:c r="M24" s="26" t="str">
        <x:v>PILOT_OWNER_REVIEW</x:v>
      </x:c>
      <x:c r="N24" s="26" t="str">
        <x:v>internal://data/contract-terms-v4.md
先區分我方錯誤修正，後者不可收費</x:v>
      </x:c>
    </x:row>
    <x:row r="25">
      <x:c r="A25" s="26" t="str">
        <x:v>PM-TURNKEY</x:v>
      </x:c>
      <x:c r="B25" s="26" t="str">
        <x:v>third_party_turnkey</x:v>
      </x:c>
      <x:c r="C25" s="26" t="str">
        <x:v>第三方統包／供應商協調</x:v>
      </x:c>
      <x:c r="D25" s="26" t="str">
        <x:v>只交付 MAPLAB 餐飲範圍</x:v>
      </x:c>
      <x:c r="E25" s="26" t="str">
        <x:v>代找場地、花藝、攝影、主持、音響或行政登記</x:v>
      </x:c>
      <x:c r="F25" s="26" t="str">
        <x:v>第三方實支＋管理</x:v>
      </x:c>
      <x:c r="G25" s="26" t="str">
        <x:v>多數業者另報，無可信南部固定率</x:v>
      </x:c>
      <x:c r="H25" s="26" t="str">
        <x:v>第三方實支＋15–20% 管理費；最低 1,500</x:v>
      </x:c>
      <x:c r="I25" s="33" t="n">
        <x:v>1500</x:v>
      </x:c>
      <x:c r="J25" s="33" t="n">
        <x:v>1500</x:v>
      </x:c>
      <x:c r="K25" s="33" t="n">
        <x:v>10000</x:v>
      </x:c>
      <x:c r="L25" s="26" t="str">
        <x:v>LOW</x:v>
      </x:c>
      <x:c r="M25" s="26" t="str">
        <x:v>PILOT_OWNER_REVIEW</x:v>
      </x:c>
      <x:c r="N25" s="26" t="str">
        <x:v>https://www.pro360.com.tw/price/catering
報價中分列 vendor 實支與我方管理責任</x:v>
      </x:c>
    </x:row>
    <x:row r="26">
      <x:c r="A26" s="26" t="str">
        <x:v>DIE-SEPARATE</x:v>
      </x:c>
      <x:c r="B26" s="26" t="str">
        <x:v>dietary_separation</x:v>
      </x:c>
      <x:c r="C26" s="26" t="str">
        <x:v>特殊飲食獨立製作／標示</x:v>
      </x:c>
      <x:c r="D26" s="26" t="str">
        <x:v>一般菜單偏好調整</x:v>
      </x:c>
      <x:c r="E26" s="26" t="str">
        <x:v>需獨立製程、包裝、器皿、標示或專人分流</x:v>
      </x:c>
      <x:c r="F26" s="26" t="str">
        <x:v>批／份</x:v>
      </x:c>
      <x:c r="G26" s="26" t="str">
        <x:v>無可信全台固定價</x:v>
      </x:c>
      <x:c r="H26" s="26" t="str">
        <x:v>增量成本回推；每批最低 800，不使用『過敏加價』用語</x:v>
      </x:c>
      <x:c r="I26" s="33" t="n">
        <x:v>800</x:v>
      </x:c>
      <x:c r="J26" s="33" t="n">
        <x:v>800</x:v>
      </x:c>
      <x:c r="K26" s="33" t="n">
        <x:v>3000</x:v>
      </x:c>
      <x:c r="L26" s="26" t="str">
        <x:v>LOW</x:v>
      </x:c>
      <x:c r="M26" s="26" t="str">
        <x:v>PILOT_OWNER_REVIEW</x:v>
      </x:c>
      <x:c r="N26" s="26" t="str">
        <x:v>https://www.papagofood.com.tw/faq.php?cate=1&amp;cid= ; https://www.cateringking.com.tw/vegan-friendly/
不得保證零交叉接觸；只有實際分流成本才收</x:v>
      </x:c>
    </x:row>
    <x:row r="27">
      <x:c r="A27" s="26" t="str">
        <x:v>EQP-POWER</x:v>
      </x:c>
      <x:c r="B27" s="26" t="str">
        <x:v>equipment_consumables</x:v>
      </x:c>
      <x:c r="C27" s="26" t="str">
        <x:v>發電／保冷／特殊設備</x:v>
      </x:c>
      <x:c r="D27" s="26" t="str">
        <x:v>正常室內電力與一般運輸</x:v>
      </x:c>
      <x:c r="E27" s="26" t="str">
        <x:v>戶外無電、長時間保冷保溫、特殊設備操作</x:v>
      </x:c>
      <x:c r="F27" s="26" t="str">
        <x:v>設備日租＋運送</x:v>
      </x:c>
      <x:c r="G27" s="26" t="str">
        <x:v>發電機約 700–3,000／日，規格差異大</x:v>
      </x:c>
      <x:c r="H27" s="26" t="str">
        <x:v>實際租金＋運送燃料＋20% 管理；最低 1,000</x:v>
      </x:c>
      <x:c r="I27" s="33" t="n">
        <x:v>1000</x:v>
      </x:c>
      <x:c r="J27" s="33" t="n">
        <x:v>1000</x:v>
      </x:c>
      <x:c r="K27" s="33" t="n">
        <x:v>5000</x:v>
      </x:c>
      <x:c r="L27" s="26" t="str">
        <x:v>MEDIUM</x:v>
      </x:c>
      <x:c r="M27" s="26" t="str">
        <x:v>PILOT_OWNER_REVIEW</x:v>
      </x:c>
      <x:c r="N27" s="26" t="str">
        <x:v>https://www.championpower.com.tw/rental-service ; https://www.cool-wow.com/power-generator
設備型號、功率、燃料與操作責任必須寫清楚</x:v>
      </x:c>
    </x:row>
    <x:row r="28">
      <x:c r="A28" s="26" t="str">
        <x:v>CUS-TASTING</x:v>
      </x:c>
      <x:c r="B28" s="26" t="str">
        <x:v>custom_scope</x:v>
      </x:c>
      <x:c r="C28" s="26" t="str">
        <x:v>試吃／打樣／樣品</x:v>
      </x:c>
      <x:c r="D28" s="26" t="str">
        <x:v>正式訂單餐點製作</x:v>
      </x:c>
      <x:c r="E28" s="26" t="str">
        <x:v>成交前指定試作、打樣、照片或多版本樣品</x:v>
      </x:c>
      <x:c r="F28" s="26" t="str">
        <x:v>次／組</x:v>
      </x:c>
      <x:c r="G28" s="26" t="str">
        <x:v>未找到南部一致公開價</x:v>
      </x:c>
      <x:c r="H28" s="26" t="str">
        <x:v>直接成本＋行政工時回推；1,500–5,000，可設定成交折抵</x:v>
      </x:c>
      <x:c r="I28" s="33" t="n">
        <x:v>1500</x:v>
      </x:c>
      <x:c r="J28" s="33" t="n">
        <x:v>1500</x:v>
      </x:c>
      <x:c r="K28" s="33" t="n">
        <x:v>5000</x:v>
      </x:c>
      <x:c r="L28" s="26" t="str">
        <x:v>LOW</x:v>
      </x:c>
      <x:c r="M28" s="26" t="str">
        <x:v>PILOT_OWNER_REVIEW</x:v>
      </x:c>
      <x:c r="N28" s="26" t="str">
        <x:v>internal://margin-formula
折抵條件要書面化，避免無限試作</x:v>
      </x:c>
    </x:row>
    <x:row r="29">
      <x:c r="A29" s="26" t="str">
        <x:v>CO-CHANGE</x:v>
      </x:c>
      <x:c r="B29" s="26" t="str">
        <x:v>revision_change_order</x:v>
      </x:c>
      <x:c r="C29" s="26" t="str">
        <x:v>確認後變更單</x:v>
      </x:c>
      <x:c r="D29" s="26" t="str">
        <x:v>核准報價範圍</x:v>
      </x:c>
      <x:c r="E29" s="26" t="str">
        <x:v>確認後追加菜色、人數、時段、地點、設備或責任</x:v>
      </x:c>
      <x:c r="F29" s="26" t="str">
        <x:v>每張變更單</x:v>
      </x:c>
      <x:c r="G29" s="26" t="str">
        <x:v>法規要求成交前明列免費與另計項目，不可事後任意加價</x:v>
      </x:c>
      <x:c r="H29" s="26" t="str">
        <x:v>max(最低 1,000，增量完全成本／(1-目標毛利))</x:v>
      </x:c>
      <x:c r="I29" s="33" t="n">
        <x:v>1000</x:v>
      </x:c>
      <x:c r="J29" s="33" t="n">
        <x:v>1000</x:v>
      </x:c>
      <x:c r="K29" s="33" t="n">
        <x:v>20000</x:v>
      </x:c>
      <x:c r="L29" s="26" t="str">
        <x:v>HIGH</x:v>
      </x:c>
      <x:c r="M29" s="26" t="str">
        <x:v>PILOT_OWNER_REVIEW</x:v>
      </x:c>
      <x:c r="N29" s="26" t="str">
        <x:v>https://www.fda.gov.tw/tc/sitecontent.aspx?sid=2519
必須在執行前取得書面確認；我方錯誤補救不可列變更單</x:v>
      </x:c>
    </x:row>
  </x:sheetData>
  <x:mergeCells>
    <x:mergeCell ref="A1:N1"/>
    <x:mergeCell ref="A2:N2"/>
  </x:mergeCells>
  <x:conditionalFormatting sqref="M6:M29">
    <x:cfRule type="containsText" dxfId="0" priority="1" operator="containsText" text="APPROVED"/>
    <x:cfRule type="containsText" dxfId="1" priority="2" operator="containsText" text="RECONCILE"/>
  </x:conditionalFormatting>
  <x:dataValidations count="2">
    <x:dataValidation type="list" sqref="L6:L29">
      <x:formula1>"HIGH,MEDIUM,LOW"</x:formula1>
    </x:dataValidation>
    <x:dataValidation type="list" sqref="M6:M29">
      <x:formula1>"PILOT_OWNER_REVIEW,SCOPE_RECONCILE,APPROVED,REJECTED"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7e2679e9984b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0" hidden="0" customWidth="1"/>
    <x:col min="4" max="4" width="20" hidden="0" customWidth="1"/>
    <x:col min="5" max="5" width="66" hidden="0" customWidth="1"/>
  </x:cols>
  <x:sheetData>
    <x:row r="1" ht="28" customHeight="1">
      <x:c r="A1" s="3" t="str">
        <x:v>LINE 對話隱藏成本訊號（初篩）</x:v>
      </x:c>
      <x:c r="B1" s="3"/>
      <x:c r="C1" s="3"/>
      <x:c r="D1" s="3"/>
      <x:c r="E1" s="3"/>
    </x:row>
    <x:row r="2" ht="28" customHeight="1">
      <x:c r="A2" s="7" t="str">
        <x:v>本機 deterministic 掃描：20,256 rows／2,491 conversations。類別會重疊，且關鍵字命中不是漏收證明；必須回到合約、實際交付與已收費資料確認。 </x:v>
      </x:c>
      <x:c r="B2" s="7"/>
      <x:c r="C2" s="7"/>
      <x:c r="D2" s="7"/>
      <x:c r="E2" s="7"/>
    </x:row>
    <x:row r="5">
      <x:c r="A5" s="16" t="str">
        <x:v>category</x:v>
      </x:c>
      <x:c r="B5" s="17" t="str">
        <x:v>人話分類</x:v>
      </x:c>
      <x:c r="C5" s="17" t="str">
        <x:v>matched_rows</x:v>
      </x:c>
      <x:c r="D5" s="17" t="str">
        <x:v>unique_conversations</x:v>
      </x:c>
      <x:c r="E5" s="18" t="str">
        <x:v>解讀邊界</x:v>
      </x:c>
    </x:row>
    <x:row r="6">
      <x:c r="A6" s="25" t="str">
        <x:v>custom_scope</x:v>
      </x:c>
      <x:c r="B6" s="25" t="str">
        <x:v>客製／主題／品牌細節</x:v>
      </x:c>
      <x:c r="C6" s="34" t="n">
        <x:v>1419</x:v>
      </x:c>
      <x:c r="D6" s="34" t="n">
        <x:v>972</x:v>
      </x:c>
      <x:c r="E6" s="25" t="str">
        <x:v>造型、花藝、Logo、試作等；候選訊號，不等於可收費</x:v>
      </x:c>
    </x:row>
    <x:row r="7">
      <x:c r="A7" s="26" t="str">
        <x:v>third_party_turnkey</x:v>
      </x:c>
      <x:c r="B7" s="26" t="str">
        <x:v>統包／第三方協調</x:v>
      </x:c>
      <x:c r="C7" s="35" t="n">
        <x:v>838</x:v>
      </x:c>
      <x:c r="D7" s="35" t="n">
        <x:v>686</x:v>
      </x:c>
      <x:c r="E7" s="26" t="str">
        <x:v>場地、花藝、音響、行政代辦等；vendor 字詞可能有誤報</x:v>
      </x:c>
    </x:row>
    <x:row r="8">
      <x:c r="A8" s="26" t="str">
        <x:v>logistics_access</x:v>
      </x:c>
      <x:c r="B8" s="26" t="str">
        <x:v>搬運／樓層／卸貨</x:v>
      </x:c>
      <x:c r="C8" s="35" t="n">
        <x:v>561</x:v>
      </x:c>
      <x:c r="D8" s="35" t="n">
        <x:v>455</x:v>
      </x:c>
      <x:c r="E8" s="26" t="str">
        <x:v>樓梯、無電梯、停車、偏遠或多點</x:v>
      </x:c>
    </x:row>
    <x:row r="9">
      <x:c r="A9" s="26" t="str">
        <x:v>revision_change_order</x:v>
      </x:c>
      <x:c r="B9" s="26" t="str">
        <x:v>追加／變更／修改</x:v>
      </x:c>
      <x:c r="C9" s="35" t="n">
        <x:v>589</x:v>
      </x:c>
      <x:c r="D9" s="35" t="n">
        <x:v>363</x:v>
      </x:c>
      <x:c r="E9" s="26" t="str">
        <x:v>需核對是否超過合約內含 2 次修改</x:v>
      </x:c>
    </x:row>
    <x:row r="10">
      <x:c r="A10" s="26" t="str">
        <x:v>equipment_consumables</x:v>
      </x:c>
      <x:c r="B10" s="26" t="str">
        <x:v>設備／桌椅／器皿</x:v>
      </x:c>
      <x:c r="C10" s="35" t="n">
        <x:v>602</x:v>
      </x:c>
      <x:c r="D10" s="35" t="n">
        <x:v>348</x:v>
      </x:c>
      <x:c r="E10" s="26" t="str">
        <x:v>需先定義標準內含量，避免重複收費</x:v>
      </x:c>
    </x:row>
    <x:row r="11">
      <x:c r="A11" s="26" t="str">
        <x:v>time_rush</x:v>
      </x:c>
      <x:c r="B11" s="26" t="str">
        <x:v>急件／等待／特殊時段</x:v>
      </x:c>
      <x:c r="C11" s="35" t="n">
        <x:v>477</x:v>
      </x:c>
      <x:c r="D11" s="35" t="n">
        <x:v>269</x:v>
      </x:c>
      <x:c r="E11" s="26" t="str">
        <x:v>急件字詞占多數；需核對真正 lead time</x:v>
      </x:c>
    </x:row>
    <x:row r="12">
      <x:c r="A12" s="26" t="str">
        <x:v>dietary_separation</x:v>
      </x:c>
      <x:c r="B12" s="26" t="str">
        <x:v>特殊飲食分流</x:v>
      </x:c>
      <x:c r="C12" s="35" t="n">
        <x:v>154</x:v>
      </x:c>
      <x:c r="D12" s="35" t="n">
        <x:v>104</x:v>
      </x:c>
      <x:c r="E12" s="26" t="str">
        <x:v>只在獨立製作、包裝、標示產生額外成本時列費</x:v>
      </x:c>
    </x:row>
    <x:row r="13">
      <x:c r="A13" s="26" t="str">
        <x:v>onsite_service</x:v>
      </x:c>
      <x:c r="B13" s="26" t="str">
        <x:v>駐場／巡場服務</x:v>
      </x:c>
      <x:c r="C13" s="35" t="n">
        <x:v>110</x:v>
      </x:c>
      <x:c r="D13" s="35" t="n">
        <x:v>75</x:v>
      </x:c>
      <x:c r="E13" s="26" t="str">
        <x:v>服務人員、補餐、倒酒、Tray-passed</x:v>
      </x:c>
    </x:row>
    <x:row r="14">
      <x:c r="A14" s="26" t="str">
        <x:v>cleanup_waste</x:v>
      </x:c>
      <x:c r="B14" s="26" t="str">
        <x:v>垃圾／清潔／復原</x:v>
      </x:c>
      <x:c r="C14" s="35" t="n">
        <x:v>56</x:v>
      </x:c>
      <x:c r="D14" s="35" t="n">
        <x:v>44</x:v>
      </x:c>
      <x:c r="E14" s="26" t="str">
        <x:v>垃圾帶走與場地復原必須拆成兩項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6e3ca9d99844ba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40" hidden="0" customWidth="1"/>
    <x:col min="9" max="9" width="40" hidden="0" customWidth="1"/>
    <x:col min="10" max="10" width="34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</x:cols>
  <x:sheetData>
    <x:row r="1" ht="28" customHeight="1">
      <x:c r="A1" s="3" t="str">
        <x:v>案件漏收費稽核表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</x:row>
    <x:row r="2" ht="28" customHeight="1">
      <x:c r="A2" s="7" t="str">
        <x:v>只在本機填入 hash／evidence path，不貼客戶原文。先判定 INCLUDED／BILLABLE／CHANGE_ORDER／PASS_THROUGH／DECLINE_OR_RISK／OWNER_WAIVER，再計算。 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7"/>
    </x:row>
    <x:row r="5">
      <x:c r="A5" s="16" t="str">
        <x:v>leak_id</x:v>
      </x:c>
      <x:c r="B5" s="17" t="str">
        <x:v>case_id_hash</x:v>
      </x:c>
      <x:c r="C5" s="17" t="str">
        <x:v>quote_id</x:v>
      </x:c>
      <x:c r="D5" s="17" t="str">
        <x:v>日期</x:v>
      </x:c>
      <x:c r="E5" s="17" t="str">
        <x:v>來源</x:v>
      </x:c>
      <x:c r="F5" s="17" t="str">
        <x:v>category</x:v>
      </x:c>
      <x:c r="G5" s="17" t="str">
        <x:v>addon_id</x:v>
      </x:c>
      <x:c r="H5" s="17" t="str">
        <x:v>baseline_scope</x:v>
      </x:c>
      <x:c r="I5" s="17" t="str">
        <x:v>requested_scope</x:v>
      </x:c>
      <x:c r="J5" s="17" t="str">
        <x:v>evidence_hash/path</x:v>
      </x:c>
      <x:c r="K5" s="17" t="str">
        <x:v>staff_count</x:v>
      </x:c>
      <x:c r="L5" s="17" t="str">
        <x:v>labor_hours</x:v>
      </x:c>
      <x:c r="M5" s="17" t="str">
        <x:v>admin_hours</x:v>
      </x:c>
      <x:c r="N5" s="17" t="str">
        <x:v>material_cost</x:v>
      </x:c>
      <x:c r="O5" s="17" t="str">
        <x:v>vendor_cost</x:v>
      </x:c>
      <x:c r="P5" s="17" t="str">
        <x:v>equipment_cost</x:v>
      </x:c>
      <x:c r="Q5" s="17" t="str">
        <x:v>transport_cost</x:v>
      </x:c>
      <x:c r="R5" s="17" t="str">
        <x:v>parking_tolls</x:v>
      </x:c>
      <x:c r="S5" s="17" t="str">
        <x:v>waste_cost</x:v>
      </x:c>
      <x:c r="T5" s="17" t="str">
        <x:v>risk_reserve</x:v>
      </x:c>
      <x:c r="U5" s="17" t="str">
        <x:v>target_margin</x:v>
      </x:c>
      <x:c r="V5" s="17" t="str">
        <x:v>fully_loaded_cost</x:v>
      </x:c>
      <x:c r="W5" s="17" t="str">
        <x:v>price_floor</x:v>
      </x:c>
      <x:c r="X5" s="17" t="str">
        <x:v>minimum_charge</x:v>
      </x:c>
      <x:c r="Y5" s="17" t="str">
        <x:v>recommended_fee</x:v>
      </x:c>
      <x:c r="Z5" s="17" t="str">
        <x:v>charged_fee</x:v>
      </x:c>
      <x:c r="AA5" s="17" t="str">
        <x:v>unbilled_leakage</x:v>
      </x:c>
      <x:c r="AB5" s="17" t="str">
        <x:v>decision_status</x:v>
      </x:c>
      <x:c r="AC5" s="17" t="str">
        <x:v>waiver_reason</x:v>
      </x:c>
      <x:c r="AD5" s="17" t="str">
        <x:v>review_owner</x:v>
      </x:c>
      <x:c r="AE5" s="17" t="str">
        <x:v>reviewed_at</x:v>
      </x:c>
      <x:c r="AF5" s="18" t="str">
        <x:v>notes</x:v>
      </x:c>
    </x:row>
    <x:row r="6">
      <x:c r="A6" s="25"/>
      <x:c r="B6" s="25"/>
      <x:c r="C6" s="25"/>
      <x:c r="D6" s="25"/>
      <x:c r="E6" s="25"/>
      <x:c r="F6" s="25"/>
      <x:c r="G6" s="25"/>
      <x:c r="H6" s="25"/>
      <x:c r="I6" s="25"/>
      <x:c r="J6" s="25"/>
      <x:c r="K6" s="25"/>
      <x:c r="L6" s="25"/>
      <x:c r="M6" s="25"/>
      <x:c r="N6" s="32"/>
      <x:c r="O6" s="32"/>
      <x:c r="P6" s="32"/>
      <x:c r="Q6" s="32"/>
      <x:c r="R6" s="32"/>
      <x:c r="S6" s="32"/>
      <x:c r="T6" s="32"/>
      <x:c r="U6" s="36" t="n">
        <x:f>'計價參數'!$B$7</x:f>
        <x:v>0.5</x:v>
      </x:c>
      <x:c r="V6" s="32" t="str">
        <x:f>IF(COUNTA(A6:T6)=0,"",K6*L6*'計價參數'!$B$5+M6*'計價參數'!$B$6+SUM(N6:T6))</x:f>
      </x:c>
      <x:c r="W6" s="32" t="str">
        <x:f>IF(V6="","",IF(U6&gt;=1,"",V6/(1-U6)))</x:f>
      </x:c>
      <x:c r="X6" s="32" t="str">
        <x:f>IF(G6="","",IFERROR(INDEX('加價服務矩陣'!$I$6:$I$29,MATCH(G6,'加價服務矩陣'!$A$6:$A$29,0)),0))</x:f>
      </x:c>
      <x:c r="Y6" s="32" t="str">
        <x:f>IF(W6="","",MAX(W6,X6))</x:f>
      </x:c>
      <x:c r="Z6" s="32"/>
      <x:c r="AA6" s="32" t="str">
        <x:f>IF(Y6="","",MAX(0,Y6-Z6))</x:f>
      </x:c>
      <x:c r="AB6" s="25"/>
      <x:c r="AC6" s="25"/>
      <x:c r="AD6" s="25"/>
      <x:c r="AE6" s="25"/>
      <x:c r="AF6" s="25"/>
    </x:row>
    <x:row r="7">
      <x:c r="A7" s="26"/>
      <x:c r="B7" s="26"/>
      <x:c r="C7" s="26"/>
      <x:c r="D7" s="26"/>
      <x:c r="E7" s="26"/>
      <x:c r="F7" s="26"/>
      <x:c r="G7" s="26"/>
      <x:c r="H7" s="26"/>
      <x:c r="I7" s="26"/>
      <x:c r="J7" s="26"/>
      <x:c r="K7" s="26"/>
      <x:c r="L7" s="26"/>
      <x:c r="M7" s="26"/>
      <x:c r="N7" s="33"/>
      <x:c r="O7" s="33"/>
      <x:c r="P7" s="33"/>
      <x:c r="Q7" s="33"/>
      <x:c r="R7" s="33"/>
      <x:c r="S7" s="33"/>
      <x:c r="T7" s="33"/>
      <x:c r="U7" s="37" t="n">
        <x:f>'計價參數'!$B$7</x:f>
        <x:v>0.5</x:v>
      </x:c>
      <x:c r="V7" s="33" t="str">
        <x:f>IF(COUNTA(A7:T7)=0,"",K7*L7*'計價參數'!$B$5+M7*'計價參數'!$B$6+SUM(N7:T7))</x:f>
      </x:c>
      <x:c r="W7" s="33" t="str">
        <x:f>IF(V7="","",IF(U7&gt;=1,"",V7/(1-U7)))</x:f>
      </x:c>
      <x:c r="X7" s="33" t="str">
        <x:f>IF(G7="","",IFERROR(INDEX('加價服務矩陣'!$I$6:$I$29,MATCH(G7,'加價服務矩陣'!$A$6:$A$29,0)),0))</x:f>
      </x:c>
      <x:c r="Y7" s="33" t="str">
        <x:f>IF(W7="","",MAX(W7,X7))</x:f>
      </x:c>
      <x:c r="Z7" s="33"/>
      <x:c r="AA7" s="33" t="str">
        <x:f>IF(Y7="","",MAX(0,Y7-Z7))</x:f>
      </x:c>
      <x:c r="AB7" s="26"/>
      <x:c r="AC7" s="26"/>
      <x:c r="AD7" s="26"/>
      <x:c r="AE7" s="26"/>
      <x:c r="AF7" s="26"/>
    </x:row>
    <x:row r="8">
      <x:c r="A8" s="26"/>
      <x:c r="B8" s="26"/>
      <x:c r="C8" s="26"/>
      <x:c r="D8" s="26"/>
      <x:c r="E8" s="26"/>
      <x:c r="F8" s="26"/>
      <x:c r="G8" s="26"/>
      <x:c r="H8" s="26"/>
      <x:c r="I8" s="26"/>
      <x:c r="J8" s="26"/>
      <x:c r="K8" s="26"/>
      <x:c r="L8" s="26"/>
      <x:c r="M8" s="26"/>
      <x:c r="N8" s="33"/>
      <x:c r="O8" s="33"/>
      <x:c r="P8" s="33"/>
      <x:c r="Q8" s="33"/>
      <x:c r="R8" s="33"/>
      <x:c r="S8" s="33"/>
      <x:c r="T8" s="33"/>
      <x:c r="U8" s="37" t="n">
        <x:f>'計價參數'!$B$7</x:f>
        <x:v>0.5</x:v>
      </x:c>
      <x:c r="V8" s="33" t="str">
        <x:f>IF(COUNTA(A8:T8)=0,"",K8*L8*'計價參數'!$B$5+M8*'計價參數'!$B$6+SUM(N8:T8))</x:f>
      </x:c>
      <x:c r="W8" s="33" t="str">
        <x:f>IF(V8="","",IF(U8&gt;=1,"",V8/(1-U8)))</x:f>
      </x:c>
      <x:c r="X8" s="33" t="str">
        <x:f>IF(G8="","",IFERROR(INDEX('加價服務矩陣'!$I$6:$I$29,MATCH(G8,'加價服務矩陣'!$A$6:$A$29,0)),0))</x:f>
      </x:c>
      <x:c r="Y8" s="33" t="str">
        <x:f>IF(W8="","",MAX(W8,X8))</x:f>
      </x:c>
      <x:c r="Z8" s="33"/>
      <x:c r="AA8" s="33" t="str">
        <x:f>IF(Y8="","",MAX(0,Y8-Z8))</x:f>
      </x:c>
      <x:c r="AB8" s="26"/>
      <x:c r="AC8" s="26"/>
      <x:c r="AD8" s="26"/>
      <x:c r="AE8" s="26"/>
      <x:c r="AF8" s="26"/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33"/>
      <x:c r="O9" s="33"/>
      <x:c r="P9" s="33"/>
      <x:c r="Q9" s="33"/>
      <x:c r="R9" s="33"/>
      <x:c r="S9" s="33"/>
      <x:c r="T9" s="33"/>
      <x:c r="U9" s="37" t="n">
        <x:f>'計價參數'!$B$7</x:f>
        <x:v>0.5</x:v>
      </x:c>
      <x:c r="V9" s="33" t="str">
        <x:f>IF(COUNTA(A9:T9)=0,"",K9*L9*'計價參數'!$B$5+M9*'計價參數'!$B$6+SUM(N9:T9))</x:f>
      </x:c>
      <x:c r="W9" s="33" t="str">
        <x:f>IF(V9="","",IF(U9&gt;=1,"",V9/(1-U9)))</x:f>
      </x:c>
      <x:c r="X9" s="33" t="str">
        <x:f>IF(G9="","",IFERROR(INDEX('加價服務矩陣'!$I$6:$I$29,MATCH(G9,'加價服務矩陣'!$A$6:$A$29,0)),0))</x:f>
      </x:c>
      <x:c r="Y9" s="33" t="str">
        <x:f>IF(W9="","",MAX(W9,X9))</x:f>
      </x:c>
      <x:c r="Z9" s="33"/>
      <x:c r="AA9" s="33" t="str">
        <x:f>IF(Y9="","",MAX(0,Y9-Z9))</x:f>
      </x:c>
      <x:c r="AB9" s="26"/>
      <x:c r="AC9" s="26"/>
      <x:c r="AD9" s="26"/>
      <x:c r="AE9" s="26"/>
      <x:c r="AF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  <x:c r="K10" s="26"/>
      <x:c r="L10" s="26"/>
      <x:c r="M10" s="26"/>
      <x:c r="N10" s="33"/>
      <x:c r="O10" s="33"/>
      <x:c r="P10" s="33"/>
      <x:c r="Q10" s="33"/>
      <x:c r="R10" s="33"/>
      <x:c r="S10" s="33"/>
      <x:c r="T10" s="33"/>
      <x:c r="U10" s="37" t="n">
        <x:f>'計價參數'!$B$7</x:f>
        <x:v>0.5</x:v>
      </x:c>
      <x:c r="V10" s="33" t="str">
        <x:f>IF(COUNTA(A10:T10)=0,"",K10*L10*'計價參數'!$B$5+M10*'計價參數'!$B$6+SUM(N10:T10))</x:f>
      </x:c>
      <x:c r="W10" s="33" t="str">
        <x:f>IF(V10="","",IF(U10&gt;=1,"",V10/(1-U10)))</x:f>
      </x:c>
      <x:c r="X10" s="33" t="str">
        <x:f>IF(G10="","",IFERROR(INDEX('加價服務矩陣'!$I$6:$I$29,MATCH(G10,'加價服務矩陣'!$A$6:$A$29,0)),0))</x:f>
      </x:c>
      <x:c r="Y10" s="33" t="str">
        <x:f>IF(W10="","",MAX(W10,X10))</x:f>
      </x:c>
      <x:c r="Z10" s="33"/>
      <x:c r="AA10" s="33" t="str">
        <x:f>IF(Y10="","",MAX(0,Y10-Z10))</x:f>
      </x:c>
      <x:c r="AB10" s="26"/>
      <x:c r="AC10" s="26"/>
      <x:c r="AD10" s="26"/>
      <x:c r="AE10" s="26"/>
      <x:c r="AF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33"/>
      <x:c r="O11" s="33"/>
      <x:c r="P11" s="33"/>
      <x:c r="Q11" s="33"/>
      <x:c r="R11" s="33"/>
      <x:c r="S11" s="33"/>
      <x:c r="T11" s="33"/>
      <x:c r="U11" s="37" t="n">
        <x:f>'計價參數'!$B$7</x:f>
        <x:v>0.5</x:v>
      </x:c>
      <x:c r="V11" s="33" t="str">
        <x:f>IF(COUNTA(A11:T11)=0,"",K11*L11*'計價參數'!$B$5+M11*'計價參數'!$B$6+SUM(N11:T11))</x:f>
      </x:c>
      <x:c r="W11" s="33" t="str">
        <x:f>IF(V11="","",IF(U11&gt;=1,"",V11/(1-U11)))</x:f>
      </x:c>
      <x:c r="X11" s="33" t="str">
        <x:f>IF(G11="","",IFERROR(INDEX('加價服務矩陣'!$I$6:$I$29,MATCH(G11,'加價服務矩陣'!$A$6:$A$29,0)),0))</x:f>
      </x:c>
      <x:c r="Y11" s="33" t="str">
        <x:f>IF(W11="","",MAX(W11,X11))</x:f>
      </x:c>
      <x:c r="Z11" s="33"/>
      <x:c r="AA11" s="33" t="str">
        <x:f>IF(Y11="","",MAX(0,Y11-Z11))</x:f>
      </x:c>
      <x:c r="AB11" s="26"/>
      <x:c r="AC11" s="26"/>
      <x:c r="AD11" s="26"/>
      <x:c r="AE11" s="26"/>
      <x:c r="AF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  <x:c r="K12" s="26"/>
      <x:c r="L12" s="26"/>
      <x:c r="M12" s="26"/>
      <x:c r="N12" s="33"/>
      <x:c r="O12" s="33"/>
      <x:c r="P12" s="33"/>
      <x:c r="Q12" s="33"/>
      <x:c r="R12" s="33"/>
      <x:c r="S12" s="33"/>
      <x:c r="T12" s="33"/>
      <x:c r="U12" s="37" t="n">
        <x:f>'計價參數'!$B$7</x:f>
        <x:v>0.5</x:v>
      </x:c>
      <x:c r="V12" s="33" t="str">
        <x:f>IF(COUNTA(A12:T12)=0,"",K12*L12*'計價參數'!$B$5+M12*'計價參數'!$B$6+SUM(N12:T12))</x:f>
      </x:c>
      <x:c r="W12" s="33" t="str">
        <x:f>IF(V12="","",IF(U12&gt;=1,"",V12/(1-U12)))</x:f>
      </x:c>
      <x:c r="X12" s="33" t="str">
        <x:f>IF(G12="","",IFERROR(INDEX('加價服務矩陣'!$I$6:$I$29,MATCH(G12,'加價服務矩陣'!$A$6:$A$29,0)),0))</x:f>
      </x:c>
      <x:c r="Y12" s="33" t="str">
        <x:f>IF(W12="","",MAX(W12,X12))</x:f>
      </x:c>
      <x:c r="Z12" s="33"/>
      <x:c r="AA12" s="33" t="str">
        <x:f>IF(Y12="","",MAX(0,Y12-Z12))</x:f>
      </x:c>
      <x:c r="AB12" s="26"/>
      <x:c r="AC12" s="26"/>
      <x:c r="AD12" s="26"/>
      <x:c r="AE12" s="26"/>
      <x:c r="AF12" s="26"/>
    </x:row>
    <x:row r="13">
      <x:c r="A13" s="26"/>
      <x:c r="B13" s="26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33"/>
      <x:c r="O13" s="33"/>
      <x:c r="P13" s="33"/>
      <x:c r="Q13" s="33"/>
      <x:c r="R13" s="33"/>
      <x:c r="S13" s="33"/>
      <x:c r="T13" s="33"/>
      <x:c r="U13" s="37" t="n">
        <x:f>'計價參數'!$B$7</x:f>
        <x:v>0.5</x:v>
      </x:c>
      <x:c r="V13" s="33" t="str">
        <x:f>IF(COUNTA(A13:T13)=0,"",K13*L13*'計價參數'!$B$5+M13*'計價參數'!$B$6+SUM(N13:T13))</x:f>
      </x:c>
      <x:c r="W13" s="33" t="str">
        <x:f>IF(V13="","",IF(U13&gt;=1,"",V13/(1-U13)))</x:f>
      </x:c>
      <x:c r="X13" s="33" t="str">
        <x:f>IF(G13="","",IFERROR(INDEX('加價服務矩陣'!$I$6:$I$29,MATCH(G13,'加價服務矩陣'!$A$6:$A$29,0)),0))</x:f>
      </x:c>
      <x:c r="Y13" s="33" t="str">
        <x:f>IF(W13="","",MAX(W13,X13))</x:f>
      </x:c>
      <x:c r="Z13" s="33"/>
      <x:c r="AA13" s="33" t="str">
        <x:f>IF(Y13="","",MAX(0,Y13-Z13))</x:f>
      </x:c>
      <x:c r="AB13" s="26"/>
      <x:c r="AC13" s="26"/>
      <x:c r="AD13" s="26"/>
      <x:c r="AE13" s="26"/>
      <x:c r="AF13" s="26"/>
    </x:row>
    <x:row r="14">
      <x:c r="A14" s="26"/>
      <x:c r="B14" s="26"/>
      <x:c r="C14" s="26"/>
      <x:c r="D14" s="26"/>
      <x:c r="E14" s="26"/>
      <x:c r="F14" s="26"/>
      <x:c r="G14" s="26"/>
      <x:c r="H14" s="26"/>
      <x:c r="I14" s="26"/>
      <x:c r="J14" s="26"/>
      <x:c r="K14" s="26"/>
      <x:c r="L14" s="26"/>
      <x:c r="M14" s="26"/>
      <x:c r="N14" s="33"/>
      <x:c r="O14" s="33"/>
      <x:c r="P14" s="33"/>
      <x:c r="Q14" s="33"/>
      <x:c r="R14" s="33"/>
      <x:c r="S14" s="33"/>
      <x:c r="T14" s="33"/>
      <x:c r="U14" s="37" t="n">
        <x:f>'計價參數'!$B$7</x:f>
        <x:v>0.5</x:v>
      </x:c>
      <x:c r="V14" s="33" t="str">
        <x:f>IF(COUNTA(A14:T14)=0,"",K14*L14*'計價參數'!$B$5+M14*'計價參數'!$B$6+SUM(N14:T14))</x:f>
      </x:c>
      <x:c r="W14" s="33" t="str">
        <x:f>IF(V14="","",IF(U14&gt;=1,"",V14/(1-U14)))</x:f>
      </x:c>
      <x:c r="X14" s="33" t="str">
        <x:f>IF(G14="","",IFERROR(INDEX('加價服務矩陣'!$I$6:$I$29,MATCH(G14,'加價服務矩陣'!$A$6:$A$29,0)),0))</x:f>
      </x:c>
      <x:c r="Y14" s="33" t="str">
        <x:f>IF(W14="","",MAX(W14,X14))</x:f>
      </x:c>
      <x:c r="Z14" s="33"/>
      <x:c r="AA14" s="33" t="str">
        <x:f>IF(Y14="","",MAX(0,Y14-Z14))</x:f>
      </x:c>
      <x:c r="AB14" s="26"/>
      <x:c r="AC14" s="26"/>
      <x:c r="AD14" s="26"/>
      <x:c r="AE14" s="26"/>
      <x:c r="AF14" s="26"/>
    </x:row>
    <x:row r="15">
      <x:c r="A15" s="26"/>
      <x:c r="B15" s="26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33"/>
      <x:c r="O15" s="33"/>
      <x:c r="P15" s="33"/>
      <x:c r="Q15" s="33"/>
      <x:c r="R15" s="33"/>
      <x:c r="S15" s="33"/>
      <x:c r="T15" s="33"/>
      <x:c r="U15" s="37" t="n">
        <x:f>'計價參數'!$B$7</x:f>
        <x:v>0.5</x:v>
      </x:c>
      <x:c r="V15" s="33" t="str">
        <x:f>IF(COUNTA(A15:T15)=0,"",K15*L15*'計價參數'!$B$5+M15*'計價參數'!$B$6+SUM(N15:T15))</x:f>
      </x:c>
      <x:c r="W15" s="33" t="str">
        <x:f>IF(V15="","",IF(U15&gt;=1,"",V15/(1-U15)))</x:f>
      </x:c>
      <x:c r="X15" s="33" t="str">
        <x:f>IF(G15="","",IFERROR(INDEX('加價服務矩陣'!$I$6:$I$29,MATCH(G15,'加價服務矩陣'!$A$6:$A$29,0)),0))</x:f>
      </x:c>
      <x:c r="Y15" s="33" t="str">
        <x:f>IF(W15="","",MAX(W15,X15))</x:f>
      </x:c>
      <x:c r="Z15" s="33"/>
      <x:c r="AA15" s="33" t="str">
        <x:f>IF(Y15="","",MAX(0,Y15-Z15))</x:f>
      </x:c>
      <x:c r="AB15" s="26"/>
      <x:c r="AC15" s="26"/>
      <x:c r="AD15" s="26"/>
      <x:c r="AE15" s="26"/>
      <x:c r="AF15" s="26"/>
    </x:row>
    <x:row r="16">
      <x:c r="A16" s="26"/>
      <x:c r="B16" s="26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33"/>
      <x:c r="O16" s="33"/>
      <x:c r="P16" s="33"/>
      <x:c r="Q16" s="33"/>
      <x:c r="R16" s="33"/>
      <x:c r="S16" s="33"/>
      <x:c r="T16" s="33"/>
      <x:c r="U16" s="37" t="n">
        <x:f>'計價參數'!$B$7</x:f>
        <x:v>0.5</x:v>
      </x:c>
      <x:c r="V16" s="33" t="str">
        <x:f>IF(COUNTA(A16:T16)=0,"",K16*L16*'計價參數'!$B$5+M16*'計價參數'!$B$6+SUM(N16:T16))</x:f>
      </x:c>
      <x:c r="W16" s="33" t="str">
        <x:f>IF(V16="","",IF(U16&gt;=1,"",V16/(1-U16)))</x:f>
      </x:c>
      <x:c r="X16" s="33" t="str">
        <x:f>IF(G16="","",IFERROR(INDEX('加價服務矩陣'!$I$6:$I$29,MATCH(G16,'加價服務矩陣'!$A$6:$A$29,0)),0))</x:f>
      </x:c>
      <x:c r="Y16" s="33" t="str">
        <x:f>IF(W16="","",MAX(W16,X16))</x:f>
      </x:c>
      <x:c r="Z16" s="33"/>
      <x:c r="AA16" s="33" t="str">
        <x:f>IF(Y16="","",MAX(0,Y16-Z16))</x:f>
      </x:c>
      <x:c r="AB16" s="26"/>
      <x:c r="AC16" s="26"/>
      <x:c r="AD16" s="26"/>
      <x:c r="AE16" s="26"/>
      <x:c r="AF16" s="26"/>
    </x:row>
    <x:row r="17">
      <x:c r="A17" s="26"/>
      <x:c r="B17" s="26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33"/>
      <x:c r="O17" s="33"/>
      <x:c r="P17" s="33"/>
      <x:c r="Q17" s="33"/>
      <x:c r="R17" s="33"/>
      <x:c r="S17" s="33"/>
      <x:c r="T17" s="33"/>
      <x:c r="U17" s="37" t="n">
        <x:f>'計價參數'!$B$7</x:f>
        <x:v>0.5</x:v>
      </x:c>
      <x:c r="V17" s="33" t="str">
        <x:f>IF(COUNTA(A17:T17)=0,"",K17*L17*'計價參數'!$B$5+M17*'計價參數'!$B$6+SUM(N17:T17))</x:f>
      </x:c>
      <x:c r="W17" s="33" t="str">
        <x:f>IF(V17="","",IF(U17&gt;=1,"",V17/(1-U17)))</x:f>
      </x:c>
      <x:c r="X17" s="33" t="str">
        <x:f>IF(G17="","",IFERROR(INDEX('加價服務矩陣'!$I$6:$I$29,MATCH(G17,'加價服務矩陣'!$A$6:$A$29,0)),0))</x:f>
      </x:c>
      <x:c r="Y17" s="33" t="str">
        <x:f>IF(W17="","",MAX(W17,X17))</x:f>
      </x:c>
      <x:c r="Z17" s="33"/>
      <x:c r="AA17" s="33" t="str">
        <x:f>IF(Y17="","",MAX(0,Y17-Z17))</x:f>
      </x:c>
      <x:c r="AB17" s="26"/>
      <x:c r="AC17" s="26"/>
      <x:c r="AD17" s="26"/>
      <x:c r="AE17" s="26"/>
      <x:c r="AF17" s="26"/>
    </x:row>
    <x:row r="18">
      <x:c r="A18" s="26"/>
      <x:c r="B18" s="26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33"/>
      <x:c r="O18" s="33"/>
      <x:c r="P18" s="33"/>
      <x:c r="Q18" s="33"/>
      <x:c r="R18" s="33"/>
      <x:c r="S18" s="33"/>
      <x:c r="T18" s="33"/>
      <x:c r="U18" s="37" t="n">
        <x:f>'計價參數'!$B$7</x:f>
        <x:v>0.5</x:v>
      </x:c>
      <x:c r="V18" s="33" t="str">
        <x:f>IF(COUNTA(A18:T18)=0,"",K18*L18*'計價參數'!$B$5+M18*'計價參數'!$B$6+SUM(N18:T18))</x:f>
      </x:c>
      <x:c r="W18" s="33" t="str">
        <x:f>IF(V18="","",IF(U18&gt;=1,"",V18/(1-U18)))</x:f>
      </x:c>
      <x:c r="X18" s="33" t="str">
        <x:f>IF(G18="","",IFERROR(INDEX('加價服務矩陣'!$I$6:$I$29,MATCH(G18,'加價服務矩陣'!$A$6:$A$29,0)),0))</x:f>
      </x:c>
      <x:c r="Y18" s="33" t="str">
        <x:f>IF(W18="","",MAX(W18,X18))</x:f>
      </x:c>
      <x:c r="Z18" s="33"/>
      <x:c r="AA18" s="33" t="str">
        <x:f>IF(Y18="","",MAX(0,Y18-Z18))</x:f>
      </x:c>
      <x:c r="AB18" s="26"/>
      <x:c r="AC18" s="26"/>
      <x:c r="AD18" s="26"/>
      <x:c r="AE18" s="26"/>
      <x:c r="AF18" s="26"/>
    </x:row>
    <x:row r="19">
      <x:c r="A19" s="26"/>
      <x:c r="B19" s="26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33"/>
      <x:c r="O19" s="33"/>
      <x:c r="P19" s="33"/>
      <x:c r="Q19" s="33"/>
      <x:c r="R19" s="33"/>
      <x:c r="S19" s="33"/>
      <x:c r="T19" s="33"/>
      <x:c r="U19" s="37" t="n">
        <x:f>'計價參數'!$B$7</x:f>
        <x:v>0.5</x:v>
      </x:c>
      <x:c r="V19" s="33" t="str">
        <x:f>IF(COUNTA(A19:T19)=0,"",K19*L19*'計價參數'!$B$5+M19*'計價參數'!$B$6+SUM(N19:T19))</x:f>
      </x:c>
      <x:c r="W19" s="33" t="str">
        <x:f>IF(V19="","",IF(U19&gt;=1,"",V19/(1-U19)))</x:f>
      </x:c>
      <x:c r="X19" s="33" t="str">
        <x:f>IF(G19="","",IFERROR(INDEX('加價服務矩陣'!$I$6:$I$29,MATCH(G19,'加價服務矩陣'!$A$6:$A$29,0)),0))</x:f>
      </x:c>
      <x:c r="Y19" s="33" t="str">
        <x:f>IF(W19="","",MAX(W19,X19))</x:f>
      </x:c>
      <x:c r="Z19" s="33"/>
      <x:c r="AA19" s="33" t="str">
        <x:f>IF(Y19="","",MAX(0,Y19-Z19))</x:f>
      </x:c>
      <x:c r="AB19" s="26"/>
      <x:c r="AC19" s="26"/>
      <x:c r="AD19" s="26"/>
      <x:c r="AE19" s="26"/>
      <x:c r="AF19" s="26"/>
    </x:row>
    <x:row r="20">
      <x:c r="A20" s="26"/>
      <x:c r="B20" s="26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33"/>
      <x:c r="O20" s="33"/>
      <x:c r="P20" s="33"/>
      <x:c r="Q20" s="33"/>
      <x:c r="R20" s="33"/>
      <x:c r="S20" s="33"/>
      <x:c r="T20" s="33"/>
      <x:c r="U20" s="37" t="n">
        <x:f>'計價參數'!$B$7</x:f>
        <x:v>0.5</x:v>
      </x:c>
      <x:c r="V20" s="33" t="str">
        <x:f>IF(COUNTA(A20:T20)=0,"",K20*L20*'計價參數'!$B$5+M20*'計價參數'!$B$6+SUM(N20:T20))</x:f>
      </x:c>
      <x:c r="W20" s="33" t="str">
        <x:f>IF(V20="","",IF(U20&gt;=1,"",V20/(1-U20)))</x:f>
      </x:c>
      <x:c r="X20" s="33" t="str">
        <x:f>IF(G20="","",IFERROR(INDEX('加價服務矩陣'!$I$6:$I$29,MATCH(G20,'加價服務矩陣'!$A$6:$A$29,0)),0))</x:f>
      </x:c>
      <x:c r="Y20" s="33" t="str">
        <x:f>IF(W20="","",MAX(W20,X20))</x:f>
      </x:c>
      <x:c r="Z20" s="33"/>
      <x:c r="AA20" s="33" t="str">
        <x:f>IF(Y20="","",MAX(0,Y20-Z20))</x:f>
      </x:c>
      <x:c r="AB20" s="26"/>
      <x:c r="AC20" s="26"/>
      <x:c r="AD20" s="26"/>
      <x:c r="AE20" s="26"/>
      <x:c r="AF20" s="26"/>
    </x:row>
    <x:row r="21">
      <x:c r="A21" s="26"/>
      <x:c r="B21" s="26"/>
      <x:c r="C21" s="26"/>
      <x:c r="D21" s="26"/>
      <x:c r="E21" s="26"/>
      <x:c r="F21" s="26"/>
      <x:c r="G21" s="26"/>
      <x:c r="H21" s="26"/>
      <x:c r="I21" s="26"/>
      <x:c r="J21" s="26"/>
      <x:c r="K21" s="26"/>
      <x:c r="L21" s="26"/>
      <x:c r="M21" s="26"/>
      <x:c r="N21" s="33"/>
      <x:c r="O21" s="33"/>
      <x:c r="P21" s="33"/>
      <x:c r="Q21" s="33"/>
      <x:c r="R21" s="33"/>
      <x:c r="S21" s="33"/>
      <x:c r="T21" s="33"/>
      <x:c r="U21" s="37" t="n">
        <x:f>'計價參數'!$B$7</x:f>
        <x:v>0.5</x:v>
      </x:c>
      <x:c r="V21" s="33" t="str">
        <x:f>IF(COUNTA(A21:T21)=0,"",K21*L21*'計價參數'!$B$5+M21*'計價參數'!$B$6+SUM(N21:T21))</x:f>
      </x:c>
      <x:c r="W21" s="33" t="str">
        <x:f>IF(V21="","",IF(U21&gt;=1,"",V21/(1-U21)))</x:f>
      </x:c>
      <x:c r="X21" s="33" t="str">
        <x:f>IF(G21="","",IFERROR(INDEX('加價服務矩陣'!$I$6:$I$29,MATCH(G21,'加價服務矩陣'!$A$6:$A$29,0)),0))</x:f>
      </x:c>
      <x:c r="Y21" s="33" t="str">
        <x:f>IF(W21="","",MAX(W21,X21))</x:f>
      </x:c>
      <x:c r="Z21" s="33"/>
      <x:c r="AA21" s="33" t="str">
        <x:f>IF(Y21="","",MAX(0,Y21-Z21))</x:f>
      </x:c>
      <x:c r="AB21" s="26"/>
      <x:c r="AC21" s="26"/>
      <x:c r="AD21" s="26"/>
      <x:c r="AE21" s="26"/>
      <x:c r="AF21" s="26"/>
    </x:row>
    <x:row r="22">
      <x:c r="A22" s="26"/>
      <x:c r="B22" s="26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33"/>
      <x:c r="O22" s="33"/>
      <x:c r="P22" s="33"/>
      <x:c r="Q22" s="33"/>
      <x:c r="R22" s="33"/>
      <x:c r="S22" s="33"/>
      <x:c r="T22" s="33"/>
      <x:c r="U22" s="37" t="n">
        <x:f>'計價參數'!$B$7</x:f>
        <x:v>0.5</x:v>
      </x:c>
      <x:c r="V22" s="33" t="str">
        <x:f>IF(COUNTA(A22:T22)=0,"",K22*L22*'計價參數'!$B$5+M22*'計價參數'!$B$6+SUM(N22:T22))</x:f>
      </x:c>
      <x:c r="W22" s="33" t="str">
        <x:f>IF(V22="","",IF(U22&gt;=1,"",V22/(1-U22)))</x:f>
      </x:c>
      <x:c r="X22" s="33" t="str">
        <x:f>IF(G22="","",IFERROR(INDEX('加價服務矩陣'!$I$6:$I$29,MATCH(G22,'加價服務矩陣'!$A$6:$A$29,0)),0))</x:f>
      </x:c>
      <x:c r="Y22" s="33" t="str">
        <x:f>IF(W22="","",MAX(W22,X22))</x:f>
      </x:c>
      <x:c r="Z22" s="33"/>
      <x:c r="AA22" s="33" t="str">
        <x:f>IF(Y22="","",MAX(0,Y22-Z22))</x:f>
      </x:c>
      <x:c r="AB22" s="26"/>
      <x:c r="AC22" s="26"/>
      <x:c r="AD22" s="26"/>
      <x:c r="AE22" s="26"/>
      <x:c r="AF22" s="26"/>
    </x:row>
    <x:row r="23">
      <x:c r="A23" s="26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33"/>
      <x:c r="O23" s="33"/>
      <x:c r="P23" s="33"/>
      <x:c r="Q23" s="33"/>
      <x:c r="R23" s="33"/>
      <x:c r="S23" s="33"/>
      <x:c r="T23" s="33"/>
      <x:c r="U23" s="37" t="n">
        <x:f>'計價參數'!$B$7</x:f>
        <x:v>0.5</x:v>
      </x:c>
      <x:c r="V23" s="33" t="str">
        <x:f>IF(COUNTA(A23:T23)=0,"",K23*L23*'計價參數'!$B$5+M23*'計價參數'!$B$6+SUM(N23:T23))</x:f>
      </x:c>
      <x:c r="W23" s="33" t="str">
        <x:f>IF(V23="","",IF(U23&gt;=1,"",V23/(1-U23)))</x:f>
      </x:c>
      <x:c r="X23" s="33" t="str">
        <x:f>IF(G23="","",IFERROR(INDEX('加價服務矩陣'!$I$6:$I$29,MATCH(G23,'加價服務矩陣'!$A$6:$A$29,0)),0))</x:f>
      </x:c>
      <x:c r="Y23" s="33" t="str">
        <x:f>IF(W23="","",MAX(W23,X23))</x:f>
      </x:c>
      <x:c r="Z23" s="33"/>
      <x:c r="AA23" s="33" t="str">
        <x:f>IF(Y23="","",MAX(0,Y23-Z23))</x:f>
      </x:c>
      <x:c r="AB23" s="26"/>
      <x:c r="AC23" s="26"/>
      <x:c r="AD23" s="26"/>
      <x:c r="AE23" s="26"/>
      <x:c r="AF23" s="26"/>
    </x:row>
    <x:row r="24">
      <x:c r="A24" s="26"/>
      <x:c r="B24" s="26"/>
      <x:c r="C24" s="26"/>
      <x:c r="D24" s="26"/>
      <x:c r="E24" s="26"/>
      <x:c r="F24" s="26"/>
      <x:c r="G24" s="26"/>
      <x:c r="H24" s="26"/>
      <x:c r="I24" s="26"/>
      <x:c r="J24" s="26"/>
      <x:c r="K24" s="26"/>
      <x:c r="L24" s="26"/>
      <x:c r="M24" s="26"/>
      <x:c r="N24" s="33"/>
      <x:c r="O24" s="33"/>
      <x:c r="P24" s="33"/>
      <x:c r="Q24" s="33"/>
      <x:c r="R24" s="33"/>
      <x:c r="S24" s="33"/>
      <x:c r="T24" s="33"/>
      <x:c r="U24" s="37" t="n">
        <x:f>'計價參數'!$B$7</x:f>
        <x:v>0.5</x:v>
      </x:c>
      <x:c r="V24" s="33" t="str">
        <x:f>IF(COUNTA(A24:T24)=0,"",K24*L24*'計價參數'!$B$5+M24*'計價參數'!$B$6+SUM(N24:T24))</x:f>
      </x:c>
      <x:c r="W24" s="33" t="str">
        <x:f>IF(V24="","",IF(U24&gt;=1,"",V24/(1-U24)))</x:f>
      </x:c>
      <x:c r="X24" s="33" t="str">
        <x:f>IF(G24="","",IFERROR(INDEX('加價服務矩陣'!$I$6:$I$29,MATCH(G24,'加價服務矩陣'!$A$6:$A$29,0)),0))</x:f>
      </x:c>
      <x:c r="Y24" s="33" t="str">
        <x:f>IF(W24="","",MAX(W24,X24))</x:f>
      </x:c>
      <x:c r="Z24" s="33"/>
      <x:c r="AA24" s="33" t="str">
        <x:f>IF(Y24="","",MAX(0,Y24-Z24))</x:f>
      </x:c>
      <x:c r="AB24" s="26"/>
      <x:c r="AC24" s="26"/>
      <x:c r="AD24" s="26"/>
      <x:c r="AE24" s="26"/>
      <x:c r="AF24" s="26"/>
    </x:row>
    <x:row r="25">
      <x:c r="A25" s="26"/>
      <x:c r="B25" s="26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33"/>
      <x:c r="O25" s="33"/>
      <x:c r="P25" s="33"/>
      <x:c r="Q25" s="33"/>
      <x:c r="R25" s="33"/>
      <x:c r="S25" s="33"/>
      <x:c r="T25" s="33"/>
      <x:c r="U25" s="37" t="n">
        <x:f>'計價參數'!$B$7</x:f>
        <x:v>0.5</x:v>
      </x:c>
      <x:c r="V25" s="33" t="str">
        <x:f>IF(COUNTA(A25:T25)=0,"",K25*L25*'計價參數'!$B$5+M25*'計價參數'!$B$6+SUM(N25:T25))</x:f>
      </x:c>
      <x:c r="W25" s="33" t="str">
        <x:f>IF(V25="","",IF(U25&gt;=1,"",V25/(1-U25)))</x:f>
      </x:c>
      <x:c r="X25" s="33" t="str">
        <x:f>IF(G25="","",IFERROR(INDEX('加價服務矩陣'!$I$6:$I$29,MATCH(G25,'加價服務矩陣'!$A$6:$A$29,0)),0))</x:f>
      </x:c>
      <x:c r="Y25" s="33" t="str">
        <x:f>IF(W25="","",MAX(W25,X25))</x:f>
      </x:c>
      <x:c r="Z25" s="33"/>
      <x:c r="AA25" s="33" t="str">
        <x:f>IF(Y25="","",MAX(0,Y25-Z25))</x:f>
      </x:c>
      <x:c r="AB25" s="26"/>
      <x:c r="AC25" s="26"/>
      <x:c r="AD25" s="26"/>
      <x:c r="AE25" s="26"/>
      <x:c r="AF25" s="26"/>
    </x:row>
    <x:row r="26">
      <x:c r="A26" s="26"/>
      <x:c r="B26" s="26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33"/>
      <x:c r="O26" s="33"/>
      <x:c r="P26" s="33"/>
      <x:c r="Q26" s="33"/>
      <x:c r="R26" s="33"/>
      <x:c r="S26" s="33"/>
      <x:c r="T26" s="33"/>
      <x:c r="U26" s="37" t="n">
        <x:f>'計價參數'!$B$7</x:f>
        <x:v>0.5</x:v>
      </x:c>
      <x:c r="V26" s="33" t="str">
        <x:f>IF(COUNTA(A26:T26)=0,"",K26*L26*'計價參數'!$B$5+M26*'計價參數'!$B$6+SUM(N26:T26))</x:f>
      </x:c>
      <x:c r="W26" s="33" t="str">
        <x:f>IF(V26="","",IF(U26&gt;=1,"",V26/(1-U26)))</x:f>
      </x:c>
      <x:c r="X26" s="33" t="str">
        <x:f>IF(G26="","",IFERROR(INDEX('加價服務矩陣'!$I$6:$I$29,MATCH(G26,'加價服務矩陣'!$A$6:$A$29,0)),0))</x:f>
      </x:c>
      <x:c r="Y26" s="33" t="str">
        <x:f>IF(W26="","",MAX(W26,X26))</x:f>
      </x:c>
      <x:c r="Z26" s="33"/>
      <x:c r="AA26" s="33" t="str">
        <x:f>IF(Y26="","",MAX(0,Y26-Z26))</x:f>
      </x:c>
      <x:c r="AB26" s="26"/>
      <x:c r="AC26" s="26"/>
      <x:c r="AD26" s="26"/>
      <x:c r="AE26" s="26"/>
      <x:c r="AF26" s="26"/>
    </x:row>
    <x:row r="27">
      <x:c r="A27" s="26"/>
      <x:c r="B27" s="26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33"/>
      <x:c r="O27" s="33"/>
      <x:c r="P27" s="33"/>
      <x:c r="Q27" s="33"/>
      <x:c r="R27" s="33"/>
      <x:c r="S27" s="33"/>
      <x:c r="T27" s="33"/>
      <x:c r="U27" s="37" t="n">
        <x:f>'計價參數'!$B$7</x:f>
        <x:v>0.5</x:v>
      </x:c>
      <x:c r="V27" s="33" t="str">
        <x:f>IF(COUNTA(A27:T27)=0,"",K27*L27*'計價參數'!$B$5+M27*'計價參數'!$B$6+SUM(N27:T27))</x:f>
      </x:c>
      <x:c r="W27" s="33" t="str">
        <x:f>IF(V27="","",IF(U27&gt;=1,"",V27/(1-U27)))</x:f>
      </x:c>
      <x:c r="X27" s="33" t="str">
        <x:f>IF(G27="","",IFERROR(INDEX('加價服務矩陣'!$I$6:$I$29,MATCH(G27,'加價服務矩陣'!$A$6:$A$29,0)),0))</x:f>
      </x:c>
      <x:c r="Y27" s="33" t="str">
        <x:f>IF(W27="","",MAX(W27,X27))</x:f>
      </x:c>
      <x:c r="Z27" s="33"/>
      <x:c r="AA27" s="33" t="str">
        <x:f>IF(Y27="","",MAX(0,Y27-Z27))</x:f>
      </x:c>
      <x:c r="AB27" s="26"/>
      <x:c r="AC27" s="26"/>
      <x:c r="AD27" s="26"/>
      <x:c r="AE27" s="26"/>
      <x:c r="AF27" s="26"/>
    </x:row>
    <x:row r="28">
      <x:c r="A28" s="26"/>
      <x:c r="B28" s="26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33"/>
      <x:c r="O28" s="33"/>
      <x:c r="P28" s="33"/>
      <x:c r="Q28" s="33"/>
      <x:c r="R28" s="33"/>
      <x:c r="S28" s="33"/>
      <x:c r="T28" s="33"/>
      <x:c r="U28" s="37" t="n">
        <x:f>'計價參數'!$B$7</x:f>
        <x:v>0.5</x:v>
      </x:c>
      <x:c r="V28" s="33" t="str">
        <x:f>IF(COUNTA(A28:T28)=0,"",K28*L28*'計價參數'!$B$5+M28*'計價參數'!$B$6+SUM(N28:T28))</x:f>
      </x:c>
      <x:c r="W28" s="33" t="str">
        <x:f>IF(V28="","",IF(U28&gt;=1,"",V28/(1-U28)))</x:f>
      </x:c>
      <x:c r="X28" s="33" t="str">
        <x:f>IF(G28="","",IFERROR(INDEX('加價服務矩陣'!$I$6:$I$29,MATCH(G28,'加價服務矩陣'!$A$6:$A$29,0)),0))</x:f>
      </x:c>
      <x:c r="Y28" s="33" t="str">
        <x:f>IF(W28="","",MAX(W28,X28))</x:f>
      </x:c>
      <x:c r="Z28" s="33"/>
      <x:c r="AA28" s="33" t="str">
        <x:f>IF(Y28="","",MAX(0,Y28-Z28))</x:f>
      </x:c>
      <x:c r="AB28" s="26"/>
      <x:c r="AC28" s="26"/>
      <x:c r="AD28" s="26"/>
      <x:c r="AE28" s="26"/>
      <x:c r="AF28" s="26"/>
    </x:row>
    <x:row r="29">
      <x:c r="A29" s="26"/>
      <x:c r="B29" s="26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33"/>
      <x:c r="O29" s="33"/>
      <x:c r="P29" s="33"/>
      <x:c r="Q29" s="33"/>
      <x:c r="R29" s="33"/>
      <x:c r="S29" s="33"/>
      <x:c r="T29" s="33"/>
      <x:c r="U29" s="37" t="n">
        <x:f>'計價參數'!$B$7</x:f>
        <x:v>0.5</x:v>
      </x:c>
      <x:c r="V29" s="33" t="str">
        <x:f>IF(COUNTA(A29:T29)=0,"",K29*L29*'計價參數'!$B$5+M29*'計價參數'!$B$6+SUM(N29:T29))</x:f>
      </x:c>
      <x:c r="W29" s="33" t="str">
        <x:f>IF(V29="","",IF(U29&gt;=1,"",V29/(1-U29)))</x:f>
      </x:c>
      <x:c r="X29" s="33" t="str">
        <x:f>IF(G29="","",IFERROR(INDEX('加價服務矩陣'!$I$6:$I$29,MATCH(G29,'加價服務矩陣'!$A$6:$A$29,0)),0))</x:f>
      </x:c>
      <x:c r="Y29" s="33" t="str">
        <x:f>IF(W29="","",MAX(W29,X29))</x:f>
      </x:c>
      <x:c r="Z29" s="33"/>
      <x:c r="AA29" s="33" t="str">
        <x:f>IF(Y29="","",MAX(0,Y29-Z29))</x:f>
      </x:c>
      <x:c r="AB29" s="26"/>
      <x:c r="AC29" s="26"/>
      <x:c r="AD29" s="26"/>
      <x:c r="AE29" s="26"/>
      <x:c r="AF29" s="26"/>
    </x:row>
    <x:row r="30">
      <x:c r="A30" s="26"/>
      <x:c r="B30" s="26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33"/>
      <x:c r="O30" s="33"/>
      <x:c r="P30" s="33"/>
      <x:c r="Q30" s="33"/>
      <x:c r="R30" s="33"/>
      <x:c r="S30" s="33"/>
      <x:c r="T30" s="33"/>
      <x:c r="U30" s="37" t="n">
        <x:f>'計價參數'!$B$7</x:f>
        <x:v>0.5</x:v>
      </x:c>
      <x:c r="V30" s="33" t="str">
        <x:f>IF(COUNTA(A30:T30)=0,"",K30*L30*'計價參數'!$B$5+M30*'計價參數'!$B$6+SUM(N30:T30))</x:f>
      </x:c>
      <x:c r="W30" s="33" t="str">
        <x:f>IF(V30="","",IF(U30&gt;=1,"",V30/(1-U30)))</x:f>
      </x:c>
      <x:c r="X30" s="33" t="str">
        <x:f>IF(G30="","",IFERROR(INDEX('加價服務矩陣'!$I$6:$I$29,MATCH(G30,'加價服務矩陣'!$A$6:$A$29,0)),0))</x:f>
      </x:c>
      <x:c r="Y30" s="33" t="str">
        <x:f>IF(W30="","",MAX(W30,X30))</x:f>
      </x:c>
      <x:c r="Z30" s="33"/>
      <x:c r="AA30" s="33" t="str">
        <x:f>IF(Y30="","",MAX(0,Y30-Z30))</x:f>
      </x:c>
      <x:c r="AB30" s="26"/>
      <x:c r="AC30" s="26"/>
      <x:c r="AD30" s="26"/>
      <x:c r="AE30" s="26"/>
      <x:c r="AF30" s="26"/>
    </x:row>
    <x:row r="31">
      <x:c r="A31" s="26"/>
      <x:c r="B31" s="26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33"/>
      <x:c r="O31" s="33"/>
      <x:c r="P31" s="33"/>
      <x:c r="Q31" s="33"/>
      <x:c r="R31" s="33"/>
      <x:c r="S31" s="33"/>
      <x:c r="T31" s="33"/>
      <x:c r="U31" s="37" t="n">
        <x:f>'計價參數'!$B$7</x:f>
        <x:v>0.5</x:v>
      </x:c>
      <x:c r="V31" s="33" t="str">
        <x:f>IF(COUNTA(A31:T31)=0,"",K31*L31*'計價參數'!$B$5+M31*'計價參數'!$B$6+SUM(N31:T31))</x:f>
      </x:c>
      <x:c r="W31" s="33" t="str">
        <x:f>IF(V31="","",IF(U31&gt;=1,"",V31/(1-U31)))</x:f>
      </x:c>
      <x:c r="X31" s="33" t="str">
        <x:f>IF(G31="","",IFERROR(INDEX('加價服務矩陣'!$I$6:$I$29,MATCH(G31,'加價服務矩陣'!$A$6:$A$29,0)),0))</x:f>
      </x:c>
      <x:c r="Y31" s="33" t="str">
        <x:f>IF(W31="","",MAX(W31,X31))</x:f>
      </x:c>
      <x:c r="Z31" s="33"/>
      <x:c r="AA31" s="33" t="str">
        <x:f>IF(Y31="","",MAX(0,Y31-Z31))</x:f>
      </x:c>
      <x:c r="AB31" s="26"/>
      <x:c r="AC31" s="26"/>
      <x:c r="AD31" s="26"/>
      <x:c r="AE31" s="26"/>
      <x:c r="AF31" s="26"/>
    </x:row>
    <x:row r="32">
      <x:c r="A32" s="26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33"/>
      <x:c r="O32" s="33"/>
      <x:c r="P32" s="33"/>
      <x:c r="Q32" s="33"/>
      <x:c r="R32" s="33"/>
      <x:c r="S32" s="33"/>
      <x:c r="T32" s="33"/>
      <x:c r="U32" s="37" t="n">
        <x:f>'計價參數'!$B$7</x:f>
        <x:v>0.5</x:v>
      </x:c>
      <x:c r="V32" s="33" t="str">
        <x:f>IF(COUNTA(A32:T32)=0,"",K32*L32*'計價參數'!$B$5+M32*'計價參數'!$B$6+SUM(N32:T32))</x:f>
      </x:c>
      <x:c r="W32" s="33" t="str">
        <x:f>IF(V32="","",IF(U32&gt;=1,"",V32/(1-U32)))</x:f>
      </x:c>
      <x:c r="X32" s="33" t="str">
        <x:f>IF(G32="","",IFERROR(INDEX('加價服務矩陣'!$I$6:$I$29,MATCH(G32,'加價服務矩陣'!$A$6:$A$29,0)),0))</x:f>
      </x:c>
      <x:c r="Y32" s="33" t="str">
        <x:f>IF(W32="","",MAX(W32,X32))</x:f>
      </x:c>
      <x:c r="Z32" s="33"/>
      <x:c r="AA32" s="33" t="str">
        <x:f>IF(Y32="","",MAX(0,Y32-Z32))</x:f>
      </x:c>
      <x:c r="AB32" s="26"/>
      <x:c r="AC32" s="26"/>
      <x:c r="AD32" s="26"/>
      <x:c r="AE32" s="26"/>
      <x:c r="AF32" s="26"/>
    </x:row>
    <x:row r="33">
      <x:c r="A33" s="26"/>
      <x:c r="B33" s="26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33"/>
      <x:c r="O33" s="33"/>
      <x:c r="P33" s="33"/>
      <x:c r="Q33" s="33"/>
      <x:c r="R33" s="33"/>
      <x:c r="S33" s="33"/>
      <x:c r="T33" s="33"/>
      <x:c r="U33" s="37" t="n">
        <x:f>'計價參數'!$B$7</x:f>
        <x:v>0.5</x:v>
      </x:c>
      <x:c r="V33" s="33" t="str">
        <x:f>IF(COUNTA(A33:T33)=0,"",K33*L33*'計價參數'!$B$5+M33*'計價參數'!$B$6+SUM(N33:T33))</x:f>
      </x:c>
      <x:c r="W33" s="33" t="str">
        <x:f>IF(V33="","",IF(U33&gt;=1,"",V33/(1-U33)))</x:f>
      </x:c>
      <x:c r="X33" s="33" t="str">
        <x:f>IF(G33="","",IFERROR(INDEX('加價服務矩陣'!$I$6:$I$29,MATCH(G33,'加價服務矩陣'!$A$6:$A$29,0)),0))</x:f>
      </x:c>
      <x:c r="Y33" s="33" t="str">
        <x:f>IF(W33="","",MAX(W33,X33))</x:f>
      </x:c>
      <x:c r="Z33" s="33"/>
      <x:c r="AA33" s="33" t="str">
        <x:f>IF(Y33="","",MAX(0,Y33-Z33))</x:f>
      </x:c>
      <x:c r="AB33" s="26"/>
      <x:c r="AC33" s="26"/>
      <x:c r="AD33" s="26"/>
      <x:c r="AE33" s="26"/>
      <x:c r="AF33" s="26"/>
    </x:row>
    <x:row r="34">
      <x:c r="A34" s="26"/>
      <x:c r="B34" s="26"/>
      <x:c r="C34" s="26"/>
      <x:c r="D34" s="26"/>
      <x:c r="E34" s="26"/>
      <x:c r="F34" s="26"/>
      <x:c r="G34" s="26"/>
      <x:c r="H34" s="26"/>
      <x:c r="I34" s="26"/>
      <x:c r="J34" s="26"/>
      <x:c r="K34" s="26"/>
      <x:c r="L34" s="26"/>
      <x:c r="M34" s="26"/>
      <x:c r="N34" s="33"/>
      <x:c r="O34" s="33"/>
      <x:c r="P34" s="33"/>
      <x:c r="Q34" s="33"/>
      <x:c r="R34" s="33"/>
      <x:c r="S34" s="33"/>
      <x:c r="T34" s="33"/>
      <x:c r="U34" s="37" t="n">
        <x:f>'計價參數'!$B$7</x:f>
        <x:v>0.5</x:v>
      </x:c>
      <x:c r="V34" s="33" t="str">
        <x:f>IF(COUNTA(A34:T34)=0,"",K34*L34*'計價參數'!$B$5+M34*'計價參數'!$B$6+SUM(N34:T34))</x:f>
      </x:c>
      <x:c r="W34" s="33" t="str">
        <x:f>IF(V34="","",IF(U34&gt;=1,"",V34/(1-U34)))</x:f>
      </x:c>
      <x:c r="X34" s="33" t="str">
        <x:f>IF(G34="","",IFERROR(INDEX('加價服務矩陣'!$I$6:$I$29,MATCH(G34,'加價服務矩陣'!$A$6:$A$29,0)),0))</x:f>
      </x:c>
      <x:c r="Y34" s="33" t="str">
        <x:f>IF(W34="","",MAX(W34,X34))</x:f>
      </x:c>
      <x:c r="Z34" s="33"/>
      <x:c r="AA34" s="33" t="str">
        <x:f>IF(Y34="","",MAX(0,Y34-Z34))</x:f>
      </x:c>
      <x:c r="AB34" s="26"/>
      <x:c r="AC34" s="26"/>
      <x:c r="AD34" s="26"/>
      <x:c r="AE34" s="26"/>
      <x:c r="AF34" s="26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  <x:c r="K35" s="26"/>
      <x:c r="L35" s="26"/>
      <x:c r="M35" s="26"/>
      <x:c r="N35" s="33"/>
      <x:c r="O35" s="33"/>
      <x:c r="P35" s="33"/>
      <x:c r="Q35" s="33"/>
      <x:c r="R35" s="33"/>
      <x:c r="S35" s="33"/>
      <x:c r="T35" s="33"/>
      <x:c r="U35" s="37" t="n">
        <x:f>'計價參數'!$B$7</x:f>
        <x:v>0.5</x:v>
      </x:c>
      <x:c r="V35" s="33" t="str">
        <x:f>IF(COUNTA(A35:T35)=0,"",K35*L35*'計價參數'!$B$5+M35*'計價參數'!$B$6+SUM(N35:T35))</x:f>
      </x:c>
      <x:c r="W35" s="33" t="str">
        <x:f>IF(V35="","",IF(U35&gt;=1,"",V35/(1-U35)))</x:f>
      </x:c>
      <x:c r="X35" s="33" t="str">
        <x:f>IF(G35="","",IFERROR(INDEX('加價服務矩陣'!$I$6:$I$29,MATCH(G35,'加價服務矩陣'!$A$6:$A$29,0)),0))</x:f>
      </x:c>
      <x:c r="Y35" s="33" t="str">
        <x:f>IF(W35="","",MAX(W35,X35))</x:f>
      </x:c>
      <x:c r="Z35" s="33"/>
      <x:c r="AA35" s="33" t="str">
        <x:f>IF(Y35="","",MAX(0,Y35-Z35))</x:f>
      </x:c>
      <x:c r="AB35" s="26"/>
      <x:c r="AC35" s="26"/>
      <x:c r="AD35" s="26"/>
      <x:c r="AE35" s="26"/>
      <x:c r="AF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33"/>
      <x:c r="O36" s="33"/>
      <x:c r="P36" s="33"/>
      <x:c r="Q36" s="33"/>
      <x:c r="R36" s="33"/>
      <x:c r="S36" s="33"/>
      <x:c r="T36" s="33"/>
      <x:c r="U36" s="37" t="n">
        <x:f>'計價參數'!$B$7</x:f>
        <x:v>0.5</x:v>
      </x:c>
      <x:c r="V36" s="33" t="str">
        <x:f>IF(COUNTA(A36:T36)=0,"",K36*L36*'計價參數'!$B$5+M36*'計價參數'!$B$6+SUM(N36:T36))</x:f>
      </x:c>
      <x:c r="W36" s="33" t="str">
        <x:f>IF(V36="","",IF(U36&gt;=1,"",V36/(1-U36)))</x:f>
      </x:c>
      <x:c r="X36" s="33" t="str">
        <x:f>IF(G36="","",IFERROR(INDEX('加價服務矩陣'!$I$6:$I$29,MATCH(G36,'加價服務矩陣'!$A$6:$A$29,0)),0))</x:f>
      </x:c>
      <x:c r="Y36" s="33" t="str">
        <x:f>IF(W36="","",MAX(W36,X36))</x:f>
      </x:c>
      <x:c r="Z36" s="33"/>
      <x:c r="AA36" s="33" t="str">
        <x:f>IF(Y36="","",MAX(0,Y36-Z36))</x:f>
      </x:c>
      <x:c r="AB36" s="26"/>
      <x:c r="AC36" s="26"/>
      <x:c r="AD36" s="26"/>
      <x:c r="AE36" s="26"/>
      <x:c r="AF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33"/>
      <x:c r="O37" s="33"/>
      <x:c r="P37" s="33"/>
      <x:c r="Q37" s="33"/>
      <x:c r="R37" s="33"/>
      <x:c r="S37" s="33"/>
      <x:c r="T37" s="33"/>
      <x:c r="U37" s="37" t="n">
        <x:f>'計價參數'!$B$7</x:f>
        <x:v>0.5</x:v>
      </x:c>
      <x:c r="V37" s="33" t="str">
        <x:f>IF(COUNTA(A37:T37)=0,"",K37*L37*'計價參數'!$B$5+M37*'計價參數'!$B$6+SUM(N37:T37))</x:f>
      </x:c>
      <x:c r="W37" s="33" t="str">
        <x:f>IF(V37="","",IF(U37&gt;=1,"",V37/(1-U37)))</x:f>
      </x:c>
      <x:c r="X37" s="33" t="str">
        <x:f>IF(G37="","",IFERROR(INDEX('加價服務矩陣'!$I$6:$I$29,MATCH(G37,'加價服務矩陣'!$A$6:$A$29,0)),0))</x:f>
      </x:c>
      <x:c r="Y37" s="33" t="str">
        <x:f>IF(W37="","",MAX(W37,X37))</x:f>
      </x:c>
      <x:c r="Z37" s="33"/>
      <x:c r="AA37" s="33" t="str">
        <x:f>IF(Y37="","",MAX(0,Y37-Z37))</x:f>
      </x:c>
      <x:c r="AB37" s="26"/>
      <x:c r="AC37" s="26"/>
      <x:c r="AD37" s="26"/>
      <x:c r="AE37" s="26"/>
      <x:c r="AF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33"/>
      <x:c r="O38" s="33"/>
      <x:c r="P38" s="33"/>
      <x:c r="Q38" s="33"/>
      <x:c r="R38" s="33"/>
      <x:c r="S38" s="33"/>
      <x:c r="T38" s="33"/>
      <x:c r="U38" s="37" t="n">
        <x:f>'計價參數'!$B$7</x:f>
        <x:v>0.5</x:v>
      </x:c>
      <x:c r="V38" s="33" t="str">
        <x:f>IF(COUNTA(A38:T38)=0,"",K38*L38*'計價參數'!$B$5+M38*'計價參數'!$B$6+SUM(N38:T38))</x:f>
      </x:c>
      <x:c r="W38" s="33" t="str">
        <x:f>IF(V38="","",IF(U38&gt;=1,"",V38/(1-U38)))</x:f>
      </x:c>
      <x:c r="X38" s="33" t="str">
        <x:f>IF(G38="","",IFERROR(INDEX('加價服務矩陣'!$I$6:$I$29,MATCH(G38,'加價服務矩陣'!$A$6:$A$29,0)),0))</x:f>
      </x:c>
      <x:c r="Y38" s="33" t="str">
        <x:f>IF(W38="","",MAX(W38,X38))</x:f>
      </x:c>
      <x:c r="Z38" s="33"/>
      <x:c r="AA38" s="33" t="str">
        <x:f>IF(Y38="","",MAX(0,Y38-Z38))</x:f>
      </x:c>
      <x:c r="AB38" s="26"/>
      <x:c r="AC38" s="26"/>
      <x:c r="AD38" s="26"/>
      <x:c r="AE38" s="26"/>
      <x:c r="AF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33"/>
      <x:c r="O39" s="33"/>
      <x:c r="P39" s="33"/>
      <x:c r="Q39" s="33"/>
      <x:c r="R39" s="33"/>
      <x:c r="S39" s="33"/>
      <x:c r="T39" s="33"/>
      <x:c r="U39" s="37" t="n">
        <x:f>'計價參數'!$B$7</x:f>
        <x:v>0.5</x:v>
      </x:c>
      <x:c r="V39" s="33" t="str">
        <x:f>IF(COUNTA(A39:T39)=0,"",K39*L39*'計價參數'!$B$5+M39*'計價參數'!$B$6+SUM(N39:T39))</x:f>
      </x:c>
      <x:c r="W39" s="33" t="str">
        <x:f>IF(V39="","",IF(U39&gt;=1,"",V39/(1-U39)))</x:f>
      </x:c>
      <x:c r="X39" s="33" t="str">
        <x:f>IF(G39="","",IFERROR(INDEX('加價服務矩陣'!$I$6:$I$29,MATCH(G39,'加價服務矩陣'!$A$6:$A$29,0)),0))</x:f>
      </x:c>
      <x:c r="Y39" s="33" t="str">
        <x:f>IF(W39="","",MAX(W39,X39))</x:f>
      </x:c>
      <x:c r="Z39" s="33"/>
      <x:c r="AA39" s="33" t="str">
        <x:f>IF(Y39="","",MAX(0,Y39-Z39))</x:f>
      </x:c>
      <x:c r="AB39" s="26"/>
      <x:c r="AC39" s="26"/>
      <x:c r="AD39" s="26"/>
      <x:c r="AE39" s="26"/>
      <x:c r="AF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33"/>
      <x:c r="O40" s="33"/>
      <x:c r="P40" s="33"/>
      <x:c r="Q40" s="33"/>
      <x:c r="R40" s="33"/>
      <x:c r="S40" s="33"/>
      <x:c r="T40" s="33"/>
      <x:c r="U40" s="37" t="n">
        <x:f>'計價參數'!$B$7</x:f>
        <x:v>0.5</x:v>
      </x:c>
      <x:c r="V40" s="33" t="str">
        <x:f>IF(COUNTA(A40:T40)=0,"",K40*L40*'計價參數'!$B$5+M40*'計價參數'!$B$6+SUM(N40:T40))</x:f>
      </x:c>
      <x:c r="W40" s="33" t="str">
        <x:f>IF(V40="","",IF(U40&gt;=1,"",V40/(1-U40)))</x:f>
      </x:c>
      <x:c r="X40" s="33" t="str">
        <x:f>IF(G40="","",IFERROR(INDEX('加價服務矩陣'!$I$6:$I$29,MATCH(G40,'加價服務矩陣'!$A$6:$A$29,0)),0))</x:f>
      </x:c>
      <x:c r="Y40" s="33" t="str">
        <x:f>IF(W40="","",MAX(W40,X40))</x:f>
      </x:c>
      <x:c r="Z40" s="33"/>
      <x:c r="AA40" s="33" t="str">
        <x:f>IF(Y40="","",MAX(0,Y40-Z40))</x:f>
      </x:c>
      <x:c r="AB40" s="26"/>
      <x:c r="AC40" s="26"/>
      <x:c r="AD40" s="26"/>
      <x:c r="AE40" s="26"/>
      <x:c r="AF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33"/>
      <x:c r="O41" s="33"/>
      <x:c r="P41" s="33"/>
      <x:c r="Q41" s="33"/>
      <x:c r="R41" s="33"/>
      <x:c r="S41" s="33"/>
      <x:c r="T41" s="33"/>
      <x:c r="U41" s="37" t="n">
        <x:f>'計價參數'!$B$7</x:f>
        <x:v>0.5</x:v>
      </x:c>
      <x:c r="V41" s="33" t="str">
        <x:f>IF(COUNTA(A41:T41)=0,"",K41*L41*'計價參數'!$B$5+M41*'計價參數'!$B$6+SUM(N41:T41))</x:f>
      </x:c>
      <x:c r="W41" s="33" t="str">
        <x:f>IF(V41="","",IF(U41&gt;=1,"",V41/(1-U41)))</x:f>
      </x:c>
      <x:c r="X41" s="33" t="str">
        <x:f>IF(G41="","",IFERROR(INDEX('加價服務矩陣'!$I$6:$I$29,MATCH(G41,'加價服務矩陣'!$A$6:$A$29,0)),0))</x:f>
      </x:c>
      <x:c r="Y41" s="33" t="str">
        <x:f>IF(W41="","",MAX(W41,X41))</x:f>
      </x:c>
      <x:c r="Z41" s="33"/>
      <x:c r="AA41" s="33" t="str">
        <x:f>IF(Y41="","",MAX(0,Y41-Z41))</x:f>
      </x:c>
      <x:c r="AB41" s="26"/>
      <x:c r="AC41" s="26"/>
      <x:c r="AD41" s="26"/>
      <x:c r="AE41" s="26"/>
      <x:c r="AF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33"/>
      <x:c r="O42" s="33"/>
      <x:c r="P42" s="33"/>
      <x:c r="Q42" s="33"/>
      <x:c r="R42" s="33"/>
      <x:c r="S42" s="33"/>
      <x:c r="T42" s="33"/>
      <x:c r="U42" s="37" t="n">
        <x:f>'計價參數'!$B$7</x:f>
        <x:v>0.5</x:v>
      </x:c>
      <x:c r="V42" s="33" t="str">
        <x:f>IF(COUNTA(A42:T42)=0,"",K42*L42*'計價參數'!$B$5+M42*'計價參數'!$B$6+SUM(N42:T42))</x:f>
      </x:c>
      <x:c r="W42" s="33" t="str">
        <x:f>IF(V42="","",IF(U42&gt;=1,"",V42/(1-U42)))</x:f>
      </x:c>
      <x:c r="X42" s="33" t="str">
        <x:f>IF(G42="","",IFERROR(INDEX('加價服務矩陣'!$I$6:$I$29,MATCH(G42,'加價服務矩陣'!$A$6:$A$29,0)),0))</x:f>
      </x:c>
      <x:c r="Y42" s="33" t="str">
        <x:f>IF(W42="","",MAX(W42,X42))</x:f>
      </x:c>
      <x:c r="Z42" s="33"/>
      <x:c r="AA42" s="33" t="str">
        <x:f>IF(Y42="","",MAX(0,Y42-Z42))</x:f>
      </x:c>
      <x:c r="AB42" s="26"/>
      <x:c r="AC42" s="26"/>
      <x:c r="AD42" s="26"/>
      <x:c r="AE42" s="26"/>
      <x:c r="AF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33"/>
      <x:c r="O43" s="33"/>
      <x:c r="P43" s="33"/>
      <x:c r="Q43" s="33"/>
      <x:c r="R43" s="33"/>
      <x:c r="S43" s="33"/>
      <x:c r="T43" s="33"/>
      <x:c r="U43" s="37" t="n">
        <x:f>'計價參數'!$B$7</x:f>
        <x:v>0.5</x:v>
      </x:c>
      <x:c r="V43" s="33" t="str">
        <x:f>IF(COUNTA(A43:T43)=0,"",K43*L43*'計價參數'!$B$5+M43*'計價參數'!$B$6+SUM(N43:T43))</x:f>
      </x:c>
      <x:c r="W43" s="33" t="str">
        <x:f>IF(V43="","",IF(U43&gt;=1,"",V43/(1-U43)))</x:f>
      </x:c>
      <x:c r="X43" s="33" t="str">
        <x:f>IF(G43="","",IFERROR(INDEX('加價服務矩陣'!$I$6:$I$29,MATCH(G43,'加價服務矩陣'!$A$6:$A$29,0)),0))</x:f>
      </x:c>
      <x:c r="Y43" s="33" t="str">
        <x:f>IF(W43="","",MAX(W43,X43))</x:f>
      </x:c>
      <x:c r="Z43" s="33"/>
      <x:c r="AA43" s="33" t="str">
        <x:f>IF(Y43="","",MAX(0,Y43-Z43))</x:f>
      </x:c>
      <x:c r="AB43" s="26"/>
      <x:c r="AC43" s="26"/>
      <x:c r="AD43" s="26"/>
      <x:c r="AE43" s="26"/>
      <x:c r="AF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33"/>
      <x:c r="O44" s="33"/>
      <x:c r="P44" s="33"/>
      <x:c r="Q44" s="33"/>
      <x:c r="R44" s="33"/>
      <x:c r="S44" s="33"/>
      <x:c r="T44" s="33"/>
      <x:c r="U44" s="37" t="n">
        <x:f>'計價參數'!$B$7</x:f>
        <x:v>0.5</x:v>
      </x:c>
      <x:c r="V44" s="33" t="str">
        <x:f>IF(COUNTA(A44:T44)=0,"",K44*L44*'計價參數'!$B$5+M44*'計價參數'!$B$6+SUM(N44:T44))</x:f>
      </x:c>
      <x:c r="W44" s="33" t="str">
        <x:f>IF(V44="","",IF(U44&gt;=1,"",V44/(1-U44)))</x:f>
      </x:c>
      <x:c r="X44" s="33" t="str">
        <x:f>IF(G44="","",IFERROR(INDEX('加價服務矩陣'!$I$6:$I$29,MATCH(G44,'加價服務矩陣'!$A$6:$A$29,0)),0))</x:f>
      </x:c>
      <x:c r="Y44" s="33" t="str">
        <x:f>IF(W44="","",MAX(W44,X44))</x:f>
      </x:c>
      <x:c r="Z44" s="33"/>
      <x:c r="AA44" s="33" t="str">
        <x:f>IF(Y44="","",MAX(0,Y44-Z44))</x:f>
      </x:c>
      <x:c r="AB44" s="26"/>
      <x:c r="AC44" s="26"/>
      <x:c r="AD44" s="26"/>
      <x:c r="AE44" s="26"/>
      <x:c r="AF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33"/>
      <x:c r="O45" s="33"/>
      <x:c r="P45" s="33"/>
      <x:c r="Q45" s="33"/>
      <x:c r="R45" s="33"/>
      <x:c r="S45" s="33"/>
      <x:c r="T45" s="33"/>
      <x:c r="U45" s="37" t="n">
        <x:f>'計價參數'!$B$7</x:f>
        <x:v>0.5</x:v>
      </x:c>
      <x:c r="V45" s="33" t="str">
        <x:f>IF(COUNTA(A45:T45)=0,"",K45*L45*'計價參數'!$B$5+M45*'計價參數'!$B$6+SUM(N45:T45))</x:f>
      </x:c>
      <x:c r="W45" s="33" t="str">
        <x:f>IF(V45="","",IF(U45&gt;=1,"",V45/(1-U45)))</x:f>
      </x:c>
      <x:c r="X45" s="33" t="str">
        <x:f>IF(G45="","",IFERROR(INDEX('加價服務矩陣'!$I$6:$I$29,MATCH(G45,'加價服務矩陣'!$A$6:$A$29,0)),0))</x:f>
      </x:c>
      <x:c r="Y45" s="33" t="str">
        <x:f>IF(W45="","",MAX(W45,X45))</x:f>
      </x:c>
      <x:c r="Z45" s="33"/>
      <x:c r="AA45" s="33" t="str">
        <x:f>IF(Y45="","",MAX(0,Y45-Z45))</x:f>
      </x:c>
      <x:c r="AB45" s="26"/>
      <x:c r="AC45" s="26"/>
      <x:c r="AD45" s="26"/>
      <x:c r="AE45" s="26"/>
      <x:c r="AF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33"/>
      <x:c r="O46" s="33"/>
      <x:c r="P46" s="33"/>
      <x:c r="Q46" s="33"/>
      <x:c r="R46" s="33"/>
      <x:c r="S46" s="33"/>
      <x:c r="T46" s="33"/>
      <x:c r="U46" s="37" t="n">
        <x:f>'計價參數'!$B$7</x:f>
        <x:v>0.5</x:v>
      </x:c>
      <x:c r="V46" s="33" t="str">
        <x:f>IF(COUNTA(A46:T46)=0,"",K46*L46*'計價參數'!$B$5+M46*'計價參數'!$B$6+SUM(N46:T46))</x:f>
      </x:c>
      <x:c r="W46" s="33" t="str">
        <x:f>IF(V46="","",IF(U46&gt;=1,"",V46/(1-U46)))</x:f>
      </x:c>
      <x:c r="X46" s="33" t="str">
        <x:f>IF(G46="","",IFERROR(INDEX('加價服務矩陣'!$I$6:$I$29,MATCH(G46,'加價服務矩陣'!$A$6:$A$29,0)),0))</x:f>
      </x:c>
      <x:c r="Y46" s="33" t="str">
        <x:f>IF(W46="","",MAX(W46,X46))</x:f>
      </x:c>
      <x:c r="Z46" s="33"/>
      <x:c r="AA46" s="33" t="str">
        <x:f>IF(Y46="","",MAX(0,Y46-Z46))</x:f>
      </x:c>
      <x:c r="AB46" s="26"/>
      <x:c r="AC46" s="26"/>
      <x:c r="AD46" s="26"/>
      <x:c r="AE46" s="26"/>
      <x:c r="AF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33"/>
      <x:c r="O47" s="33"/>
      <x:c r="P47" s="33"/>
      <x:c r="Q47" s="33"/>
      <x:c r="R47" s="33"/>
      <x:c r="S47" s="33"/>
      <x:c r="T47" s="33"/>
      <x:c r="U47" s="37" t="n">
        <x:f>'計價參數'!$B$7</x:f>
        <x:v>0.5</x:v>
      </x:c>
      <x:c r="V47" s="33" t="str">
        <x:f>IF(COUNTA(A47:T47)=0,"",K47*L47*'計價參數'!$B$5+M47*'計價參數'!$B$6+SUM(N47:T47))</x:f>
      </x:c>
      <x:c r="W47" s="33" t="str">
        <x:f>IF(V47="","",IF(U47&gt;=1,"",V47/(1-U47)))</x:f>
      </x:c>
      <x:c r="X47" s="33" t="str">
        <x:f>IF(G47="","",IFERROR(INDEX('加價服務矩陣'!$I$6:$I$29,MATCH(G47,'加價服務矩陣'!$A$6:$A$29,0)),0))</x:f>
      </x:c>
      <x:c r="Y47" s="33" t="str">
        <x:f>IF(W47="","",MAX(W47,X47))</x:f>
      </x:c>
      <x:c r="Z47" s="33"/>
      <x:c r="AA47" s="33" t="str">
        <x:f>IF(Y47="","",MAX(0,Y47-Z47))</x:f>
      </x:c>
      <x:c r="AB47" s="26"/>
      <x:c r="AC47" s="26"/>
      <x:c r="AD47" s="26"/>
      <x:c r="AE47" s="26"/>
      <x:c r="AF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  <x:c r="K48" s="26"/>
      <x:c r="L48" s="26"/>
      <x:c r="M48" s="26"/>
      <x:c r="N48" s="33"/>
      <x:c r="O48" s="33"/>
      <x:c r="P48" s="33"/>
      <x:c r="Q48" s="33"/>
      <x:c r="R48" s="33"/>
      <x:c r="S48" s="33"/>
      <x:c r="T48" s="33"/>
      <x:c r="U48" s="37" t="n">
        <x:f>'計價參數'!$B$7</x:f>
        <x:v>0.5</x:v>
      </x:c>
      <x:c r="V48" s="33" t="str">
        <x:f>IF(COUNTA(A48:T48)=0,"",K48*L48*'計價參數'!$B$5+M48*'計價參數'!$B$6+SUM(N48:T48))</x:f>
      </x:c>
      <x:c r="W48" s="33" t="str">
        <x:f>IF(V48="","",IF(U48&gt;=1,"",V48/(1-U48)))</x:f>
      </x:c>
      <x:c r="X48" s="33" t="str">
        <x:f>IF(G48="","",IFERROR(INDEX('加價服務矩陣'!$I$6:$I$29,MATCH(G48,'加價服務矩陣'!$A$6:$A$29,0)),0))</x:f>
      </x:c>
      <x:c r="Y48" s="33" t="str">
        <x:f>IF(W48="","",MAX(W48,X48))</x:f>
      </x:c>
      <x:c r="Z48" s="33"/>
      <x:c r="AA48" s="33" t="str">
        <x:f>IF(Y48="","",MAX(0,Y48-Z48))</x:f>
      </x:c>
      <x:c r="AB48" s="26"/>
      <x:c r="AC48" s="26"/>
      <x:c r="AD48" s="26"/>
      <x:c r="AE48" s="26"/>
      <x:c r="AF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33"/>
      <x:c r="O49" s="33"/>
      <x:c r="P49" s="33"/>
      <x:c r="Q49" s="33"/>
      <x:c r="R49" s="33"/>
      <x:c r="S49" s="33"/>
      <x:c r="T49" s="33"/>
      <x:c r="U49" s="37" t="n">
        <x:f>'計價參數'!$B$7</x:f>
        <x:v>0.5</x:v>
      </x:c>
      <x:c r="V49" s="33" t="str">
        <x:f>IF(COUNTA(A49:T49)=0,"",K49*L49*'計價參數'!$B$5+M49*'計價參數'!$B$6+SUM(N49:T49))</x:f>
      </x:c>
      <x:c r="W49" s="33" t="str">
        <x:f>IF(V49="","",IF(U49&gt;=1,"",V49/(1-U49)))</x:f>
      </x:c>
      <x:c r="X49" s="33" t="str">
        <x:f>IF(G49="","",IFERROR(INDEX('加價服務矩陣'!$I$6:$I$29,MATCH(G49,'加價服務矩陣'!$A$6:$A$29,0)),0))</x:f>
      </x:c>
      <x:c r="Y49" s="33" t="str">
        <x:f>IF(W49="","",MAX(W49,X49))</x:f>
      </x:c>
      <x:c r="Z49" s="33"/>
      <x:c r="AA49" s="33" t="str">
        <x:f>IF(Y49="","",MAX(0,Y49-Z49))</x:f>
      </x:c>
      <x:c r="AB49" s="26"/>
      <x:c r="AC49" s="26"/>
      <x:c r="AD49" s="26"/>
      <x:c r="AE49" s="26"/>
      <x:c r="AF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33"/>
      <x:c r="O50" s="33"/>
      <x:c r="P50" s="33"/>
      <x:c r="Q50" s="33"/>
      <x:c r="R50" s="33"/>
      <x:c r="S50" s="33"/>
      <x:c r="T50" s="33"/>
      <x:c r="U50" s="37" t="n">
        <x:f>'計價參數'!$B$7</x:f>
        <x:v>0.5</x:v>
      </x:c>
      <x:c r="V50" s="33" t="str">
        <x:f>IF(COUNTA(A50:T50)=0,"",K50*L50*'計價參數'!$B$5+M50*'計價參數'!$B$6+SUM(N50:T50))</x:f>
      </x:c>
      <x:c r="W50" s="33" t="str">
        <x:f>IF(V50="","",IF(U50&gt;=1,"",V50/(1-U50)))</x:f>
      </x:c>
      <x:c r="X50" s="33" t="str">
        <x:f>IF(G50="","",IFERROR(INDEX('加價服務矩陣'!$I$6:$I$29,MATCH(G50,'加價服務矩陣'!$A$6:$A$29,0)),0))</x:f>
      </x:c>
      <x:c r="Y50" s="33" t="str">
        <x:f>IF(W50="","",MAX(W50,X50))</x:f>
      </x:c>
      <x:c r="Z50" s="33"/>
      <x:c r="AA50" s="33" t="str">
        <x:f>IF(Y50="","",MAX(0,Y50-Z50))</x:f>
      </x:c>
      <x:c r="AB50" s="26"/>
      <x:c r="AC50" s="26"/>
      <x:c r="AD50" s="26"/>
      <x:c r="AE50" s="26"/>
      <x:c r="AF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33"/>
      <x:c r="O51" s="33"/>
      <x:c r="P51" s="33"/>
      <x:c r="Q51" s="33"/>
      <x:c r="R51" s="33"/>
      <x:c r="S51" s="33"/>
      <x:c r="T51" s="33"/>
      <x:c r="U51" s="37" t="n">
        <x:f>'計價參數'!$B$7</x:f>
        <x:v>0.5</x:v>
      </x:c>
      <x:c r="V51" s="33" t="str">
        <x:f>IF(COUNTA(A51:T51)=0,"",K51*L51*'計價參數'!$B$5+M51*'計價參數'!$B$6+SUM(N51:T51))</x:f>
      </x:c>
      <x:c r="W51" s="33" t="str">
        <x:f>IF(V51="","",IF(U51&gt;=1,"",V51/(1-U51)))</x:f>
      </x:c>
      <x:c r="X51" s="33" t="str">
        <x:f>IF(G51="","",IFERROR(INDEX('加價服務矩陣'!$I$6:$I$29,MATCH(G51,'加價服務矩陣'!$A$6:$A$29,0)),0))</x:f>
      </x:c>
      <x:c r="Y51" s="33" t="str">
        <x:f>IF(W51="","",MAX(W51,X51))</x:f>
      </x:c>
      <x:c r="Z51" s="33"/>
      <x:c r="AA51" s="33" t="str">
        <x:f>IF(Y51="","",MAX(0,Y51-Z51))</x:f>
      </x:c>
      <x:c r="AB51" s="26"/>
      <x:c r="AC51" s="26"/>
      <x:c r="AD51" s="26"/>
      <x:c r="AE51" s="26"/>
      <x:c r="AF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  <x:c r="K52" s="26"/>
      <x:c r="L52" s="26"/>
      <x:c r="M52" s="26"/>
      <x:c r="N52" s="33"/>
      <x:c r="O52" s="33"/>
      <x:c r="P52" s="33"/>
      <x:c r="Q52" s="33"/>
      <x:c r="R52" s="33"/>
      <x:c r="S52" s="33"/>
      <x:c r="T52" s="33"/>
      <x:c r="U52" s="37" t="n">
        <x:f>'計價參數'!$B$7</x:f>
        <x:v>0.5</x:v>
      </x:c>
      <x:c r="V52" s="33" t="str">
        <x:f>IF(COUNTA(A52:T52)=0,"",K52*L52*'計價參數'!$B$5+M52*'計價參數'!$B$6+SUM(N52:T52))</x:f>
      </x:c>
      <x:c r="W52" s="33" t="str">
        <x:f>IF(V52="","",IF(U52&gt;=1,"",V52/(1-U52)))</x:f>
      </x:c>
      <x:c r="X52" s="33" t="str">
        <x:f>IF(G52="","",IFERROR(INDEX('加價服務矩陣'!$I$6:$I$29,MATCH(G52,'加價服務矩陣'!$A$6:$A$29,0)),0))</x:f>
      </x:c>
      <x:c r="Y52" s="33" t="str">
        <x:f>IF(W52="","",MAX(W52,X52))</x:f>
      </x:c>
      <x:c r="Z52" s="33"/>
      <x:c r="AA52" s="33" t="str">
        <x:f>IF(Y52="","",MAX(0,Y52-Z52))</x:f>
      </x:c>
      <x:c r="AB52" s="26"/>
      <x:c r="AC52" s="26"/>
      <x:c r="AD52" s="26"/>
      <x:c r="AE52" s="26"/>
      <x:c r="AF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33"/>
      <x:c r="O53" s="33"/>
      <x:c r="P53" s="33"/>
      <x:c r="Q53" s="33"/>
      <x:c r="R53" s="33"/>
      <x:c r="S53" s="33"/>
      <x:c r="T53" s="33"/>
      <x:c r="U53" s="37" t="n">
        <x:f>'計價參數'!$B$7</x:f>
        <x:v>0.5</x:v>
      </x:c>
      <x:c r="V53" s="33" t="str">
        <x:f>IF(COUNTA(A53:T53)=0,"",K53*L53*'計價參數'!$B$5+M53*'計價參數'!$B$6+SUM(N53:T53))</x:f>
      </x:c>
      <x:c r="W53" s="33" t="str">
        <x:f>IF(V53="","",IF(U53&gt;=1,"",V53/(1-U53)))</x:f>
      </x:c>
      <x:c r="X53" s="33" t="str">
        <x:f>IF(G53="","",IFERROR(INDEX('加價服務矩陣'!$I$6:$I$29,MATCH(G53,'加價服務矩陣'!$A$6:$A$29,0)),0))</x:f>
      </x:c>
      <x:c r="Y53" s="33" t="str">
        <x:f>IF(W53="","",MAX(W53,X53))</x:f>
      </x:c>
      <x:c r="Z53" s="33"/>
      <x:c r="AA53" s="33" t="str">
        <x:f>IF(Y53="","",MAX(0,Y53-Z53))</x:f>
      </x:c>
      <x:c r="AB53" s="26"/>
      <x:c r="AC53" s="26"/>
      <x:c r="AD53" s="26"/>
      <x:c r="AE53" s="26"/>
      <x:c r="AF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33"/>
      <x:c r="O54" s="33"/>
      <x:c r="P54" s="33"/>
      <x:c r="Q54" s="33"/>
      <x:c r="R54" s="33"/>
      <x:c r="S54" s="33"/>
      <x:c r="T54" s="33"/>
      <x:c r="U54" s="37" t="n">
        <x:f>'計價參數'!$B$7</x:f>
        <x:v>0.5</x:v>
      </x:c>
      <x:c r="V54" s="33" t="str">
        <x:f>IF(COUNTA(A54:T54)=0,"",K54*L54*'計價參數'!$B$5+M54*'計價參數'!$B$6+SUM(N54:T54))</x:f>
      </x:c>
      <x:c r="W54" s="33" t="str">
        <x:f>IF(V54="","",IF(U54&gt;=1,"",V54/(1-U54)))</x:f>
      </x:c>
      <x:c r="X54" s="33" t="str">
        <x:f>IF(G54="","",IFERROR(INDEX('加價服務矩陣'!$I$6:$I$29,MATCH(G54,'加價服務矩陣'!$A$6:$A$29,0)),0))</x:f>
      </x:c>
      <x:c r="Y54" s="33" t="str">
        <x:f>IF(W54="","",MAX(W54,X54))</x:f>
      </x:c>
      <x:c r="Z54" s="33"/>
      <x:c r="AA54" s="33" t="str">
        <x:f>IF(Y54="","",MAX(0,Y54-Z54))</x:f>
      </x:c>
      <x:c r="AB54" s="26"/>
      <x:c r="AC54" s="26"/>
      <x:c r="AD54" s="26"/>
      <x:c r="AE54" s="26"/>
      <x:c r="AF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  <x:c r="K55" s="26"/>
      <x:c r="L55" s="26"/>
      <x:c r="M55" s="26"/>
      <x:c r="N55" s="33"/>
      <x:c r="O55" s="33"/>
      <x:c r="P55" s="33"/>
      <x:c r="Q55" s="33"/>
      <x:c r="R55" s="33"/>
      <x:c r="S55" s="33"/>
      <x:c r="T55" s="33"/>
      <x:c r="U55" s="37" t="n">
        <x:f>'計價參數'!$B$7</x:f>
        <x:v>0.5</x:v>
      </x:c>
      <x:c r="V55" s="33" t="str">
        <x:f>IF(COUNTA(A55:T55)=0,"",K55*L55*'計價參數'!$B$5+M55*'計價參數'!$B$6+SUM(N55:T55))</x:f>
      </x:c>
      <x:c r="W55" s="33" t="str">
        <x:f>IF(V55="","",IF(U55&gt;=1,"",V55/(1-U55)))</x:f>
      </x:c>
      <x:c r="X55" s="33" t="str">
        <x:f>IF(G55="","",IFERROR(INDEX('加價服務矩陣'!$I$6:$I$29,MATCH(G55,'加價服務矩陣'!$A$6:$A$29,0)),0))</x:f>
      </x:c>
      <x:c r="Y55" s="33" t="str">
        <x:f>IF(W55="","",MAX(W55,X55))</x:f>
      </x:c>
      <x:c r="Z55" s="33"/>
      <x:c r="AA55" s="33" t="str">
        <x:f>IF(Y55="","",MAX(0,Y55-Z55))</x:f>
      </x:c>
      <x:c r="AB55" s="26"/>
      <x:c r="AC55" s="26"/>
      <x:c r="AD55" s="26"/>
      <x:c r="AE55" s="26"/>
      <x:c r="AF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  <x:c r="K56" s="26"/>
      <x:c r="L56" s="26"/>
      <x:c r="M56" s="26"/>
      <x:c r="N56" s="33"/>
      <x:c r="O56" s="33"/>
      <x:c r="P56" s="33"/>
      <x:c r="Q56" s="33"/>
      <x:c r="R56" s="33"/>
      <x:c r="S56" s="33"/>
      <x:c r="T56" s="33"/>
      <x:c r="U56" s="37" t="n">
        <x:f>'計價參數'!$B$7</x:f>
        <x:v>0.5</x:v>
      </x:c>
      <x:c r="V56" s="33" t="str">
        <x:f>IF(COUNTA(A56:T56)=0,"",K56*L56*'計價參數'!$B$5+M56*'計價參數'!$B$6+SUM(N56:T56))</x:f>
      </x:c>
      <x:c r="W56" s="33" t="str">
        <x:f>IF(V56="","",IF(U56&gt;=1,"",V56/(1-U56)))</x:f>
      </x:c>
      <x:c r="X56" s="33" t="str">
        <x:f>IF(G56="","",IFERROR(INDEX('加價服務矩陣'!$I$6:$I$29,MATCH(G56,'加價服務矩陣'!$A$6:$A$29,0)),0))</x:f>
      </x:c>
      <x:c r="Y56" s="33" t="str">
        <x:f>IF(W56="","",MAX(W56,X56))</x:f>
      </x:c>
      <x:c r="Z56" s="33"/>
      <x:c r="AA56" s="33" t="str">
        <x:f>IF(Y56="","",MAX(0,Y56-Z56))</x:f>
      </x:c>
      <x:c r="AB56" s="26"/>
      <x:c r="AC56" s="26"/>
      <x:c r="AD56" s="26"/>
      <x:c r="AE56" s="26"/>
      <x:c r="AF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  <x:c r="K57" s="26"/>
      <x:c r="L57" s="26"/>
      <x:c r="M57" s="26"/>
      <x:c r="N57" s="33"/>
      <x:c r="O57" s="33"/>
      <x:c r="P57" s="33"/>
      <x:c r="Q57" s="33"/>
      <x:c r="R57" s="33"/>
      <x:c r="S57" s="33"/>
      <x:c r="T57" s="33"/>
      <x:c r="U57" s="37" t="n">
        <x:f>'計價參數'!$B$7</x:f>
        <x:v>0.5</x:v>
      </x:c>
      <x:c r="V57" s="33" t="str">
        <x:f>IF(COUNTA(A57:T57)=0,"",K57*L57*'計價參數'!$B$5+M57*'計價參數'!$B$6+SUM(N57:T57))</x:f>
      </x:c>
      <x:c r="W57" s="33" t="str">
        <x:f>IF(V57="","",IF(U57&gt;=1,"",V57/(1-U57)))</x:f>
      </x:c>
      <x:c r="X57" s="33" t="str">
        <x:f>IF(G57="","",IFERROR(INDEX('加價服務矩陣'!$I$6:$I$29,MATCH(G57,'加價服務矩陣'!$A$6:$A$29,0)),0))</x:f>
      </x:c>
      <x:c r="Y57" s="33" t="str">
        <x:f>IF(W57="","",MAX(W57,X57))</x:f>
      </x:c>
      <x:c r="Z57" s="33"/>
      <x:c r="AA57" s="33" t="str">
        <x:f>IF(Y57="","",MAX(0,Y57-Z57))</x:f>
      </x:c>
      <x:c r="AB57" s="26"/>
      <x:c r="AC57" s="26"/>
      <x:c r="AD57" s="26"/>
      <x:c r="AE57" s="26"/>
      <x:c r="AF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  <x:c r="K58" s="26"/>
      <x:c r="L58" s="26"/>
      <x:c r="M58" s="26"/>
      <x:c r="N58" s="33"/>
      <x:c r="O58" s="33"/>
      <x:c r="P58" s="33"/>
      <x:c r="Q58" s="33"/>
      <x:c r="R58" s="33"/>
      <x:c r="S58" s="33"/>
      <x:c r="T58" s="33"/>
      <x:c r="U58" s="37" t="n">
        <x:f>'計價參數'!$B$7</x:f>
        <x:v>0.5</x:v>
      </x:c>
      <x:c r="V58" s="33" t="str">
        <x:f>IF(COUNTA(A58:T58)=0,"",K58*L58*'計價參數'!$B$5+M58*'計價參數'!$B$6+SUM(N58:T58))</x:f>
      </x:c>
      <x:c r="W58" s="33" t="str">
        <x:f>IF(V58="","",IF(U58&gt;=1,"",V58/(1-U58)))</x:f>
      </x:c>
      <x:c r="X58" s="33" t="str">
        <x:f>IF(G58="","",IFERROR(INDEX('加價服務矩陣'!$I$6:$I$29,MATCH(G58,'加價服務矩陣'!$A$6:$A$29,0)),0))</x:f>
      </x:c>
      <x:c r="Y58" s="33" t="str">
        <x:f>IF(W58="","",MAX(W58,X58))</x:f>
      </x:c>
      <x:c r="Z58" s="33"/>
      <x:c r="AA58" s="33" t="str">
        <x:f>IF(Y58="","",MAX(0,Y58-Z58))</x:f>
      </x:c>
      <x:c r="AB58" s="26"/>
      <x:c r="AC58" s="26"/>
      <x:c r="AD58" s="26"/>
      <x:c r="AE58" s="26"/>
      <x:c r="AF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  <x:c r="K59" s="26"/>
      <x:c r="L59" s="26"/>
      <x:c r="M59" s="26"/>
      <x:c r="N59" s="33"/>
      <x:c r="O59" s="33"/>
      <x:c r="P59" s="33"/>
      <x:c r="Q59" s="33"/>
      <x:c r="R59" s="33"/>
      <x:c r="S59" s="33"/>
      <x:c r="T59" s="33"/>
      <x:c r="U59" s="37" t="n">
        <x:f>'計價參數'!$B$7</x:f>
        <x:v>0.5</x:v>
      </x:c>
      <x:c r="V59" s="33" t="str">
        <x:f>IF(COUNTA(A59:T59)=0,"",K59*L59*'計價參數'!$B$5+M59*'計價參數'!$B$6+SUM(N59:T59))</x:f>
      </x:c>
      <x:c r="W59" s="33" t="str">
        <x:f>IF(V59="","",IF(U59&gt;=1,"",V59/(1-U59)))</x:f>
      </x:c>
      <x:c r="X59" s="33" t="str">
        <x:f>IF(G59="","",IFERROR(INDEX('加價服務矩陣'!$I$6:$I$29,MATCH(G59,'加價服務矩陣'!$A$6:$A$29,0)),0))</x:f>
      </x:c>
      <x:c r="Y59" s="33" t="str">
        <x:f>IF(W59="","",MAX(W59,X59))</x:f>
      </x:c>
      <x:c r="Z59" s="33"/>
      <x:c r="AA59" s="33" t="str">
        <x:f>IF(Y59="","",MAX(0,Y59-Z59))</x:f>
      </x:c>
      <x:c r="AB59" s="26"/>
      <x:c r="AC59" s="26"/>
      <x:c r="AD59" s="26"/>
      <x:c r="AE59" s="26"/>
      <x:c r="AF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  <x:c r="K60" s="26"/>
      <x:c r="L60" s="26"/>
      <x:c r="M60" s="26"/>
      <x:c r="N60" s="33"/>
      <x:c r="O60" s="33"/>
      <x:c r="P60" s="33"/>
      <x:c r="Q60" s="33"/>
      <x:c r="R60" s="33"/>
      <x:c r="S60" s="33"/>
      <x:c r="T60" s="33"/>
      <x:c r="U60" s="37" t="n">
        <x:f>'計價參數'!$B$7</x:f>
        <x:v>0.5</x:v>
      </x:c>
      <x:c r="V60" s="33" t="str">
        <x:f>IF(COUNTA(A60:T60)=0,"",K60*L60*'計價參數'!$B$5+M60*'計價參數'!$B$6+SUM(N60:T60))</x:f>
      </x:c>
      <x:c r="W60" s="33" t="str">
        <x:f>IF(V60="","",IF(U60&gt;=1,"",V60/(1-U60)))</x:f>
      </x:c>
      <x:c r="X60" s="33" t="str">
        <x:f>IF(G60="","",IFERROR(INDEX('加價服務矩陣'!$I$6:$I$29,MATCH(G60,'加價服務矩陣'!$A$6:$A$29,0)),0))</x:f>
      </x:c>
      <x:c r="Y60" s="33" t="str">
        <x:f>IF(W60="","",MAX(W60,X60))</x:f>
      </x:c>
      <x:c r="Z60" s="33"/>
      <x:c r="AA60" s="33" t="str">
        <x:f>IF(Y60="","",MAX(0,Y60-Z60))</x:f>
      </x:c>
      <x:c r="AB60" s="26"/>
      <x:c r="AC60" s="26"/>
      <x:c r="AD60" s="26"/>
      <x:c r="AE60" s="26"/>
      <x:c r="AF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33"/>
      <x:c r="O61" s="33"/>
      <x:c r="P61" s="33"/>
      <x:c r="Q61" s="33"/>
      <x:c r="R61" s="33"/>
      <x:c r="S61" s="33"/>
      <x:c r="T61" s="33"/>
      <x:c r="U61" s="37" t="n">
        <x:f>'計價參數'!$B$7</x:f>
        <x:v>0.5</x:v>
      </x:c>
      <x:c r="V61" s="33" t="str">
        <x:f>IF(COUNTA(A61:T61)=0,"",K61*L61*'計價參數'!$B$5+M61*'計價參數'!$B$6+SUM(N61:T61))</x:f>
      </x:c>
      <x:c r="W61" s="33" t="str">
        <x:f>IF(V61="","",IF(U61&gt;=1,"",V61/(1-U61)))</x:f>
      </x:c>
      <x:c r="X61" s="33" t="str">
        <x:f>IF(G61="","",IFERROR(INDEX('加價服務矩陣'!$I$6:$I$29,MATCH(G61,'加價服務矩陣'!$A$6:$A$29,0)),0))</x:f>
      </x:c>
      <x:c r="Y61" s="33" t="str">
        <x:f>IF(W61="","",MAX(W61,X61))</x:f>
      </x:c>
      <x:c r="Z61" s="33"/>
      <x:c r="AA61" s="33" t="str">
        <x:f>IF(Y61="","",MAX(0,Y61-Z61))</x:f>
      </x:c>
      <x:c r="AB61" s="26"/>
      <x:c r="AC61" s="26"/>
      <x:c r="AD61" s="26"/>
      <x:c r="AE61" s="26"/>
      <x:c r="AF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33"/>
      <x:c r="O62" s="33"/>
      <x:c r="P62" s="33"/>
      <x:c r="Q62" s="33"/>
      <x:c r="R62" s="33"/>
      <x:c r="S62" s="33"/>
      <x:c r="T62" s="33"/>
      <x:c r="U62" s="37" t="n">
        <x:f>'計價參數'!$B$7</x:f>
        <x:v>0.5</x:v>
      </x:c>
      <x:c r="V62" s="33" t="str">
        <x:f>IF(COUNTA(A62:T62)=0,"",K62*L62*'計價參數'!$B$5+M62*'計價參數'!$B$6+SUM(N62:T62))</x:f>
      </x:c>
      <x:c r="W62" s="33" t="str">
        <x:f>IF(V62="","",IF(U62&gt;=1,"",V62/(1-U62)))</x:f>
      </x:c>
      <x:c r="X62" s="33" t="str">
        <x:f>IF(G62="","",IFERROR(INDEX('加價服務矩陣'!$I$6:$I$29,MATCH(G62,'加價服務矩陣'!$A$6:$A$29,0)),0))</x:f>
      </x:c>
      <x:c r="Y62" s="33" t="str">
        <x:f>IF(W62="","",MAX(W62,X62))</x:f>
      </x:c>
      <x:c r="Z62" s="33"/>
      <x:c r="AA62" s="33" t="str">
        <x:f>IF(Y62="","",MAX(0,Y62-Z62))</x:f>
      </x:c>
      <x:c r="AB62" s="26"/>
      <x:c r="AC62" s="26"/>
      <x:c r="AD62" s="26"/>
      <x:c r="AE62" s="26"/>
      <x:c r="AF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33"/>
      <x:c r="O63" s="33"/>
      <x:c r="P63" s="33"/>
      <x:c r="Q63" s="33"/>
      <x:c r="R63" s="33"/>
      <x:c r="S63" s="33"/>
      <x:c r="T63" s="33"/>
      <x:c r="U63" s="37" t="n">
        <x:f>'計價參數'!$B$7</x:f>
        <x:v>0.5</x:v>
      </x:c>
      <x:c r="V63" s="33" t="str">
        <x:f>IF(COUNTA(A63:T63)=0,"",K63*L63*'計價參數'!$B$5+M63*'計價參數'!$B$6+SUM(N63:T63))</x:f>
      </x:c>
      <x:c r="W63" s="33" t="str">
        <x:f>IF(V63="","",IF(U63&gt;=1,"",V63/(1-U63)))</x:f>
      </x:c>
      <x:c r="X63" s="33" t="str">
        <x:f>IF(G63="","",IFERROR(INDEX('加價服務矩陣'!$I$6:$I$29,MATCH(G63,'加價服務矩陣'!$A$6:$A$29,0)),0))</x:f>
      </x:c>
      <x:c r="Y63" s="33" t="str">
        <x:f>IF(W63="","",MAX(W63,X63))</x:f>
      </x:c>
      <x:c r="Z63" s="33"/>
      <x:c r="AA63" s="33" t="str">
        <x:f>IF(Y63="","",MAX(0,Y63-Z63))</x:f>
      </x:c>
      <x:c r="AB63" s="26"/>
      <x:c r="AC63" s="26"/>
      <x:c r="AD63" s="26"/>
      <x:c r="AE63" s="26"/>
      <x:c r="AF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33"/>
      <x:c r="O64" s="33"/>
      <x:c r="P64" s="33"/>
      <x:c r="Q64" s="33"/>
      <x:c r="R64" s="33"/>
      <x:c r="S64" s="33"/>
      <x:c r="T64" s="33"/>
      <x:c r="U64" s="37" t="n">
        <x:f>'計價參數'!$B$7</x:f>
        <x:v>0.5</x:v>
      </x:c>
      <x:c r="V64" s="33" t="str">
        <x:f>IF(COUNTA(A64:T64)=0,"",K64*L64*'計價參數'!$B$5+M64*'計價參數'!$B$6+SUM(N64:T64))</x:f>
      </x:c>
      <x:c r="W64" s="33" t="str">
        <x:f>IF(V64="","",IF(U64&gt;=1,"",V64/(1-U64)))</x:f>
      </x:c>
      <x:c r="X64" s="33" t="str">
        <x:f>IF(G64="","",IFERROR(INDEX('加價服務矩陣'!$I$6:$I$29,MATCH(G64,'加價服務矩陣'!$A$6:$A$29,0)),0))</x:f>
      </x:c>
      <x:c r="Y64" s="33" t="str">
        <x:f>IF(W64="","",MAX(W64,X64))</x:f>
      </x:c>
      <x:c r="Z64" s="33"/>
      <x:c r="AA64" s="33" t="str">
        <x:f>IF(Y64="","",MAX(0,Y64-Z64))</x:f>
      </x:c>
      <x:c r="AB64" s="26"/>
      <x:c r="AC64" s="26"/>
      <x:c r="AD64" s="26"/>
      <x:c r="AE64" s="26"/>
      <x:c r="AF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33"/>
      <x:c r="O65" s="33"/>
      <x:c r="P65" s="33"/>
      <x:c r="Q65" s="33"/>
      <x:c r="R65" s="33"/>
      <x:c r="S65" s="33"/>
      <x:c r="T65" s="33"/>
      <x:c r="U65" s="37" t="n">
        <x:f>'計價參數'!$B$7</x:f>
        <x:v>0.5</x:v>
      </x:c>
      <x:c r="V65" s="33" t="str">
        <x:f>IF(COUNTA(A65:T65)=0,"",K65*L65*'計價參數'!$B$5+M65*'計價參數'!$B$6+SUM(N65:T65))</x:f>
      </x:c>
      <x:c r="W65" s="33" t="str">
        <x:f>IF(V65="","",IF(U65&gt;=1,"",V65/(1-U65)))</x:f>
      </x:c>
      <x:c r="X65" s="33" t="str">
        <x:f>IF(G65="","",IFERROR(INDEX('加價服務矩陣'!$I$6:$I$29,MATCH(G65,'加價服務矩陣'!$A$6:$A$29,0)),0))</x:f>
      </x:c>
      <x:c r="Y65" s="33" t="str">
        <x:f>IF(W65="","",MAX(W65,X65))</x:f>
      </x:c>
      <x:c r="Z65" s="33"/>
      <x:c r="AA65" s="33" t="str">
        <x:f>IF(Y65="","",MAX(0,Y65-Z65))</x:f>
      </x:c>
      <x:c r="AB65" s="26"/>
      <x:c r="AC65" s="26"/>
      <x:c r="AD65" s="26"/>
      <x:c r="AE65" s="26"/>
      <x:c r="AF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33"/>
      <x:c r="O66" s="33"/>
      <x:c r="P66" s="33"/>
      <x:c r="Q66" s="33"/>
      <x:c r="R66" s="33"/>
      <x:c r="S66" s="33"/>
      <x:c r="T66" s="33"/>
      <x:c r="U66" s="37" t="n">
        <x:f>'計價參數'!$B$7</x:f>
        <x:v>0.5</x:v>
      </x:c>
      <x:c r="V66" s="33" t="str">
        <x:f>IF(COUNTA(A66:T66)=0,"",K66*L66*'計價參數'!$B$5+M66*'計價參數'!$B$6+SUM(N66:T66))</x:f>
      </x:c>
      <x:c r="W66" s="33" t="str">
        <x:f>IF(V66="","",IF(U66&gt;=1,"",V66/(1-U66)))</x:f>
      </x:c>
      <x:c r="X66" s="33" t="str">
        <x:f>IF(G66="","",IFERROR(INDEX('加價服務矩陣'!$I$6:$I$29,MATCH(G66,'加價服務矩陣'!$A$6:$A$29,0)),0))</x:f>
      </x:c>
      <x:c r="Y66" s="33" t="str">
        <x:f>IF(W66="","",MAX(W66,X66))</x:f>
      </x:c>
      <x:c r="Z66" s="33"/>
      <x:c r="AA66" s="33" t="str">
        <x:f>IF(Y66="","",MAX(0,Y66-Z66))</x:f>
      </x:c>
      <x:c r="AB66" s="26"/>
      <x:c r="AC66" s="26"/>
      <x:c r="AD66" s="26"/>
      <x:c r="AE66" s="26"/>
      <x:c r="AF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33"/>
      <x:c r="O67" s="33"/>
      <x:c r="P67" s="33"/>
      <x:c r="Q67" s="33"/>
      <x:c r="R67" s="33"/>
      <x:c r="S67" s="33"/>
      <x:c r="T67" s="33"/>
      <x:c r="U67" s="37" t="n">
        <x:f>'計價參數'!$B$7</x:f>
        <x:v>0.5</x:v>
      </x:c>
      <x:c r="V67" s="33" t="str">
        <x:f>IF(COUNTA(A67:T67)=0,"",K67*L67*'計價參數'!$B$5+M67*'計價參數'!$B$6+SUM(N67:T67))</x:f>
      </x:c>
      <x:c r="W67" s="33" t="str">
        <x:f>IF(V67="","",IF(U67&gt;=1,"",V67/(1-U67)))</x:f>
      </x:c>
      <x:c r="X67" s="33" t="str">
        <x:f>IF(G67="","",IFERROR(INDEX('加價服務矩陣'!$I$6:$I$29,MATCH(G67,'加價服務矩陣'!$A$6:$A$29,0)),0))</x:f>
      </x:c>
      <x:c r="Y67" s="33" t="str">
        <x:f>IF(W67="","",MAX(W67,X67))</x:f>
      </x:c>
      <x:c r="Z67" s="33"/>
      <x:c r="AA67" s="33" t="str">
        <x:f>IF(Y67="","",MAX(0,Y67-Z67))</x:f>
      </x:c>
      <x:c r="AB67" s="26"/>
      <x:c r="AC67" s="26"/>
      <x:c r="AD67" s="26"/>
      <x:c r="AE67" s="26"/>
      <x:c r="AF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33"/>
      <x:c r="O68" s="33"/>
      <x:c r="P68" s="33"/>
      <x:c r="Q68" s="33"/>
      <x:c r="R68" s="33"/>
      <x:c r="S68" s="33"/>
      <x:c r="T68" s="33"/>
      <x:c r="U68" s="37" t="n">
        <x:f>'計價參數'!$B$7</x:f>
        <x:v>0.5</x:v>
      </x:c>
      <x:c r="V68" s="33" t="str">
        <x:f>IF(COUNTA(A68:T68)=0,"",K68*L68*'計價參數'!$B$5+M68*'計價參數'!$B$6+SUM(N68:T68))</x:f>
      </x:c>
      <x:c r="W68" s="33" t="str">
        <x:f>IF(V68="","",IF(U68&gt;=1,"",V68/(1-U68)))</x:f>
      </x:c>
      <x:c r="X68" s="33" t="str">
        <x:f>IF(G68="","",IFERROR(INDEX('加價服務矩陣'!$I$6:$I$29,MATCH(G68,'加價服務矩陣'!$A$6:$A$29,0)),0))</x:f>
      </x:c>
      <x:c r="Y68" s="33" t="str">
        <x:f>IF(W68="","",MAX(W68,X68))</x:f>
      </x:c>
      <x:c r="Z68" s="33"/>
      <x:c r="AA68" s="33" t="str">
        <x:f>IF(Y68="","",MAX(0,Y68-Z68))</x:f>
      </x:c>
      <x:c r="AB68" s="26"/>
      <x:c r="AC68" s="26"/>
      <x:c r="AD68" s="26"/>
      <x:c r="AE68" s="26"/>
      <x:c r="AF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33"/>
      <x:c r="O69" s="33"/>
      <x:c r="P69" s="33"/>
      <x:c r="Q69" s="33"/>
      <x:c r="R69" s="33"/>
      <x:c r="S69" s="33"/>
      <x:c r="T69" s="33"/>
      <x:c r="U69" s="37" t="n">
        <x:f>'計價參數'!$B$7</x:f>
        <x:v>0.5</x:v>
      </x:c>
      <x:c r="V69" s="33" t="str">
        <x:f>IF(COUNTA(A69:T69)=0,"",K69*L69*'計價參數'!$B$5+M69*'計價參數'!$B$6+SUM(N69:T69))</x:f>
      </x:c>
      <x:c r="W69" s="33" t="str">
        <x:f>IF(V69="","",IF(U69&gt;=1,"",V69/(1-U69)))</x:f>
      </x:c>
      <x:c r="X69" s="33" t="str">
        <x:f>IF(G69="","",IFERROR(INDEX('加價服務矩陣'!$I$6:$I$29,MATCH(G69,'加價服務矩陣'!$A$6:$A$29,0)),0))</x:f>
      </x:c>
      <x:c r="Y69" s="33" t="str">
        <x:f>IF(W69="","",MAX(W69,X69))</x:f>
      </x:c>
      <x:c r="Z69" s="33"/>
      <x:c r="AA69" s="33" t="str">
        <x:f>IF(Y69="","",MAX(0,Y69-Z69))</x:f>
      </x:c>
      <x:c r="AB69" s="26"/>
      <x:c r="AC69" s="26"/>
      <x:c r="AD69" s="26"/>
      <x:c r="AE69" s="26"/>
      <x:c r="AF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33"/>
      <x:c r="O70" s="33"/>
      <x:c r="P70" s="33"/>
      <x:c r="Q70" s="33"/>
      <x:c r="R70" s="33"/>
      <x:c r="S70" s="33"/>
      <x:c r="T70" s="33"/>
      <x:c r="U70" s="37" t="n">
        <x:f>'計價參數'!$B$7</x:f>
        <x:v>0.5</x:v>
      </x:c>
      <x:c r="V70" s="33" t="str">
        <x:f>IF(COUNTA(A70:T70)=0,"",K70*L70*'計價參數'!$B$5+M70*'計價參數'!$B$6+SUM(N70:T70))</x:f>
      </x:c>
      <x:c r="W70" s="33" t="str">
        <x:f>IF(V70="","",IF(U70&gt;=1,"",V70/(1-U70)))</x:f>
      </x:c>
      <x:c r="X70" s="33" t="str">
        <x:f>IF(G70="","",IFERROR(INDEX('加價服務矩陣'!$I$6:$I$29,MATCH(G70,'加價服務矩陣'!$A$6:$A$29,0)),0))</x:f>
      </x:c>
      <x:c r="Y70" s="33" t="str">
        <x:f>IF(W70="","",MAX(W70,X70))</x:f>
      </x:c>
      <x:c r="Z70" s="33"/>
      <x:c r="AA70" s="33" t="str">
        <x:f>IF(Y70="","",MAX(0,Y70-Z70))</x:f>
      </x:c>
      <x:c r="AB70" s="26"/>
      <x:c r="AC70" s="26"/>
      <x:c r="AD70" s="26"/>
      <x:c r="AE70" s="26"/>
      <x:c r="AF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  <x:c r="K71" s="26"/>
      <x:c r="L71" s="26"/>
      <x:c r="M71" s="26"/>
      <x:c r="N71" s="33"/>
      <x:c r="O71" s="33"/>
      <x:c r="P71" s="33"/>
      <x:c r="Q71" s="33"/>
      <x:c r="R71" s="33"/>
      <x:c r="S71" s="33"/>
      <x:c r="T71" s="33"/>
      <x:c r="U71" s="37" t="n">
        <x:f>'計價參數'!$B$7</x:f>
        <x:v>0.5</x:v>
      </x:c>
      <x:c r="V71" s="33" t="str">
        <x:f>IF(COUNTA(A71:T71)=0,"",K71*L71*'計價參數'!$B$5+M71*'計價參數'!$B$6+SUM(N71:T71))</x:f>
      </x:c>
      <x:c r="W71" s="33" t="str">
        <x:f>IF(V71="","",IF(U71&gt;=1,"",V71/(1-U71)))</x:f>
      </x:c>
      <x:c r="X71" s="33" t="str">
        <x:f>IF(G71="","",IFERROR(INDEX('加價服務矩陣'!$I$6:$I$29,MATCH(G71,'加價服務矩陣'!$A$6:$A$29,0)),0))</x:f>
      </x:c>
      <x:c r="Y71" s="33" t="str">
        <x:f>IF(W71="","",MAX(W71,X71))</x:f>
      </x:c>
      <x:c r="Z71" s="33"/>
      <x:c r="AA71" s="33" t="str">
        <x:f>IF(Y71="","",MAX(0,Y71-Z71))</x:f>
      </x:c>
      <x:c r="AB71" s="26"/>
      <x:c r="AC71" s="26"/>
      <x:c r="AD71" s="26"/>
      <x:c r="AE71" s="26"/>
      <x:c r="AF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  <x:c r="K72" s="26"/>
      <x:c r="L72" s="26"/>
      <x:c r="M72" s="26"/>
      <x:c r="N72" s="33"/>
      <x:c r="O72" s="33"/>
      <x:c r="P72" s="33"/>
      <x:c r="Q72" s="33"/>
      <x:c r="R72" s="33"/>
      <x:c r="S72" s="33"/>
      <x:c r="T72" s="33"/>
      <x:c r="U72" s="37" t="n">
        <x:f>'計價參數'!$B$7</x:f>
        <x:v>0.5</x:v>
      </x:c>
      <x:c r="V72" s="33" t="str">
        <x:f>IF(COUNTA(A72:T72)=0,"",K72*L72*'計價參數'!$B$5+M72*'計價參數'!$B$6+SUM(N72:T72))</x:f>
      </x:c>
      <x:c r="W72" s="33" t="str">
        <x:f>IF(V72="","",IF(U72&gt;=1,"",V72/(1-U72)))</x:f>
      </x:c>
      <x:c r="X72" s="33" t="str">
        <x:f>IF(G72="","",IFERROR(INDEX('加價服務矩陣'!$I$6:$I$29,MATCH(G72,'加價服務矩陣'!$A$6:$A$29,0)),0))</x:f>
      </x:c>
      <x:c r="Y72" s="33" t="str">
        <x:f>IF(W72="","",MAX(W72,X72))</x:f>
      </x:c>
      <x:c r="Z72" s="33"/>
      <x:c r="AA72" s="33" t="str">
        <x:f>IF(Y72="","",MAX(0,Y72-Z72))</x:f>
      </x:c>
      <x:c r="AB72" s="26"/>
      <x:c r="AC72" s="26"/>
      <x:c r="AD72" s="26"/>
      <x:c r="AE72" s="26"/>
      <x:c r="AF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  <x:c r="K73" s="26"/>
      <x:c r="L73" s="26"/>
      <x:c r="M73" s="26"/>
      <x:c r="N73" s="33"/>
      <x:c r="O73" s="33"/>
      <x:c r="P73" s="33"/>
      <x:c r="Q73" s="33"/>
      <x:c r="R73" s="33"/>
      <x:c r="S73" s="33"/>
      <x:c r="T73" s="33"/>
      <x:c r="U73" s="37" t="n">
        <x:f>'計價參數'!$B$7</x:f>
        <x:v>0.5</x:v>
      </x:c>
      <x:c r="V73" s="33" t="str">
        <x:f>IF(COUNTA(A73:T73)=0,"",K73*L73*'計價參數'!$B$5+M73*'計價參數'!$B$6+SUM(N73:T73))</x:f>
      </x:c>
      <x:c r="W73" s="33" t="str">
        <x:f>IF(V73="","",IF(U73&gt;=1,"",V73/(1-U73)))</x:f>
      </x:c>
      <x:c r="X73" s="33" t="str">
        <x:f>IF(G73="","",IFERROR(INDEX('加價服務矩陣'!$I$6:$I$29,MATCH(G73,'加價服務矩陣'!$A$6:$A$29,0)),0))</x:f>
      </x:c>
      <x:c r="Y73" s="33" t="str">
        <x:f>IF(W73="","",MAX(W73,X73))</x:f>
      </x:c>
      <x:c r="Z73" s="33"/>
      <x:c r="AA73" s="33" t="str">
        <x:f>IF(Y73="","",MAX(0,Y73-Z73))</x:f>
      </x:c>
      <x:c r="AB73" s="26"/>
      <x:c r="AC73" s="26"/>
      <x:c r="AD73" s="26"/>
      <x:c r="AE73" s="26"/>
      <x:c r="AF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  <x:c r="K74" s="26"/>
      <x:c r="L74" s="26"/>
      <x:c r="M74" s="26"/>
      <x:c r="N74" s="33"/>
      <x:c r="O74" s="33"/>
      <x:c r="P74" s="33"/>
      <x:c r="Q74" s="33"/>
      <x:c r="R74" s="33"/>
      <x:c r="S74" s="33"/>
      <x:c r="T74" s="33"/>
      <x:c r="U74" s="37" t="n">
        <x:f>'計價參數'!$B$7</x:f>
        <x:v>0.5</x:v>
      </x:c>
      <x:c r="V74" s="33" t="str">
        <x:f>IF(COUNTA(A74:T74)=0,"",K74*L74*'計價參數'!$B$5+M74*'計價參數'!$B$6+SUM(N74:T74))</x:f>
      </x:c>
      <x:c r="W74" s="33" t="str">
        <x:f>IF(V74="","",IF(U74&gt;=1,"",V74/(1-U74)))</x:f>
      </x:c>
      <x:c r="X74" s="33" t="str">
        <x:f>IF(G74="","",IFERROR(INDEX('加價服務矩陣'!$I$6:$I$29,MATCH(G74,'加價服務矩陣'!$A$6:$A$29,0)),0))</x:f>
      </x:c>
      <x:c r="Y74" s="33" t="str">
        <x:f>IF(W74="","",MAX(W74,X74))</x:f>
      </x:c>
      <x:c r="Z74" s="33"/>
      <x:c r="AA74" s="33" t="str">
        <x:f>IF(Y74="","",MAX(0,Y74-Z74))</x:f>
      </x:c>
      <x:c r="AB74" s="26"/>
      <x:c r="AC74" s="26"/>
      <x:c r="AD74" s="26"/>
      <x:c r="AE74" s="26"/>
      <x:c r="AF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  <x:c r="K75" s="26"/>
      <x:c r="L75" s="26"/>
      <x:c r="M75" s="26"/>
      <x:c r="N75" s="33"/>
      <x:c r="O75" s="33"/>
      <x:c r="P75" s="33"/>
      <x:c r="Q75" s="33"/>
      <x:c r="R75" s="33"/>
      <x:c r="S75" s="33"/>
      <x:c r="T75" s="33"/>
      <x:c r="U75" s="37" t="n">
        <x:f>'計價參數'!$B$7</x:f>
        <x:v>0.5</x:v>
      </x:c>
      <x:c r="V75" s="33" t="str">
        <x:f>IF(COUNTA(A75:T75)=0,"",K75*L75*'計價參數'!$B$5+M75*'計價參數'!$B$6+SUM(N75:T75))</x:f>
      </x:c>
      <x:c r="W75" s="33" t="str">
        <x:f>IF(V75="","",IF(U75&gt;=1,"",V75/(1-U75)))</x:f>
      </x:c>
      <x:c r="X75" s="33" t="str">
        <x:f>IF(G75="","",IFERROR(INDEX('加價服務矩陣'!$I$6:$I$29,MATCH(G75,'加價服務矩陣'!$A$6:$A$29,0)),0))</x:f>
      </x:c>
      <x:c r="Y75" s="33" t="str">
        <x:f>IF(W75="","",MAX(W75,X75))</x:f>
      </x:c>
      <x:c r="Z75" s="33"/>
      <x:c r="AA75" s="33" t="str">
        <x:f>IF(Y75="","",MAX(0,Y75-Z75))</x:f>
      </x:c>
      <x:c r="AB75" s="26"/>
      <x:c r="AC75" s="26"/>
      <x:c r="AD75" s="26"/>
      <x:c r="AE75" s="26"/>
      <x:c r="AF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  <x:c r="K76" s="26"/>
      <x:c r="L76" s="26"/>
      <x:c r="M76" s="26"/>
      <x:c r="N76" s="33"/>
      <x:c r="O76" s="33"/>
      <x:c r="P76" s="33"/>
      <x:c r="Q76" s="33"/>
      <x:c r="R76" s="33"/>
      <x:c r="S76" s="33"/>
      <x:c r="T76" s="33"/>
      <x:c r="U76" s="37" t="n">
        <x:f>'計價參數'!$B$7</x:f>
        <x:v>0.5</x:v>
      </x:c>
      <x:c r="V76" s="33" t="str">
        <x:f>IF(COUNTA(A76:T76)=0,"",K76*L76*'計價參數'!$B$5+M76*'計價參數'!$B$6+SUM(N76:T76))</x:f>
      </x:c>
      <x:c r="W76" s="33" t="str">
        <x:f>IF(V76="","",IF(U76&gt;=1,"",V76/(1-U76)))</x:f>
      </x:c>
      <x:c r="X76" s="33" t="str">
        <x:f>IF(G76="","",IFERROR(INDEX('加價服務矩陣'!$I$6:$I$29,MATCH(G76,'加價服務矩陣'!$A$6:$A$29,0)),0))</x:f>
      </x:c>
      <x:c r="Y76" s="33" t="str">
        <x:f>IF(W76="","",MAX(W76,X76))</x:f>
      </x:c>
      <x:c r="Z76" s="33"/>
      <x:c r="AA76" s="33" t="str">
        <x:f>IF(Y76="","",MAX(0,Y76-Z76))</x:f>
      </x:c>
      <x:c r="AB76" s="26"/>
      <x:c r="AC76" s="26"/>
      <x:c r="AD76" s="26"/>
      <x:c r="AE76" s="26"/>
      <x:c r="AF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  <x:c r="K77" s="26"/>
      <x:c r="L77" s="26"/>
      <x:c r="M77" s="26"/>
      <x:c r="N77" s="33"/>
      <x:c r="O77" s="33"/>
      <x:c r="P77" s="33"/>
      <x:c r="Q77" s="33"/>
      <x:c r="R77" s="33"/>
      <x:c r="S77" s="33"/>
      <x:c r="T77" s="33"/>
      <x:c r="U77" s="37" t="n">
        <x:f>'計價參數'!$B$7</x:f>
        <x:v>0.5</x:v>
      </x:c>
      <x:c r="V77" s="33" t="str">
        <x:f>IF(COUNTA(A77:T77)=0,"",K77*L77*'計價參數'!$B$5+M77*'計價參數'!$B$6+SUM(N77:T77))</x:f>
      </x:c>
      <x:c r="W77" s="33" t="str">
        <x:f>IF(V77="","",IF(U77&gt;=1,"",V77/(1-U77)))</x:f>
      </x:c>
      <x:c r="X77" s="33" t="str">
        <x:f>IF(G77="","",IFERROR(INDEX('加價服務矩陣'!$I$6:$I$29,MATCH(G77,'加價服務矩陣'!$A$6:$A$29,0)),0))</x:f>
      </x:c>
      <x:c r="Y77" s="33" t="str">
        <x:f>IF(W77="","",MAX(W77,X77))</x:f>
      </x:c>
      <x:c r="Z77" s="33"/>
      <x:c r="AA77" s="33" t="str">
        <x:f>IF(Y77="","",MAX(0,Y77-Z77))</x:f>
      </x:c>
      <x:c r="AB77" s="26"/>
      <x:c r="AC77" s="26"/>
      <x:c r="AD77" s="26"/>
      <x:c r="AE77" s="26"/>
      <x:c r="AF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  <x:c r="K78" s="26"/>
      <x:c r="L78" s="26"/>
      <x:c r="M78" s="26"/>
      <x:c r="N78" s="33"/>
      <x:c r="O78" s="33"/>
      <x:c r="P78" s="33"/>
      <x:c r="Q78" s="33"/>
      <x:c r="R78" s="33"/>
      <x:c r="S78" s="33"/>
      <x:c r="T78" s="33"/>
      <x:c r="U78" s="37" t="n">
        <x:f>'計價參數'!$B$7</x:f>
        <x:v>0.5</x:v>
      </x:c>
      <x:c r="V78" s="33" t="str">
        <x:f>IF(COUNTA(A78:T78)=0,"",K78*L78*'計價參數'!$B$5+M78*'計價參數'!$B$6+SUM(N78:T78))</x:f>
      </x:c>
      <x:c r="W78" s="33" t="str">
        <x:f>IF(V78="","",IF(U78&gt;=1,"",V78/(1-U78)))</x:f>
      </x:c>
      <x:c r="X78" s="33" t="str">
        <x:f>IF(G78="","",IFERROR(INDEX('加價服務矩陣'!$I$6:$I$29,MATCH(G78,'加價服務矩陣'!$A$6:$A$29,0)),0))</x:f>
      </x:c>
      <x:c r="Y78" s="33" t="str">
        <x:f>IF(W78="","",MAX(W78,X78))</x:f>
      </x:c>
      <x:c r="Z78" s="33"/>
      <x:c r="AA78" s="33" t="str">
        <x:f>IF(Y78="","",MAX(0,Y78-Z78))</x:f>
      </x:c>
      <x:c r="AB78" s="26"/>
      <x:c r="AC78" s="26"/>
      <x:c r="AD78" s="26"/>
      <x:c r="AE78" s="26"/>
      <x:c r="AF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  <x:c r="K79" s="26"/>
      <x:c r="L79" s="26"/>
      <x:c r="M79" s="26"/>
      <x:c r="N79" s="33"/>
      <x:c r="O79" s="33"/>
      <x:c r="P79" s="33"/>
      <x:c r="Q79" s="33"/>
      <x:c r="R79" s="33"/>
      <x:c r="S79" s="33"/>
      <x:c r="T79" s="33"/>
      <x:c r="U79" s="37" t="n">
        <x:f>'計價參數'!$B$7</x:f>
        <x:v>0.5</x:v>
      </x:c>
      <x:c r="V79" s="33" t="str">
        <x:f>IF(COUNTA(A79:T79)=0,"",K79*L79*'計價參數'!$B$5+M79*'計價參數'!$B$6+SUM(N79:T79))</x:f>
      </x:c>
      <x:c r="W79" s="33" t="str">
        <x:f>IF(V79="","",IF(U79&gt;=1,"",V79/(1-U79)))</x:f>
      </x:c>
      <x:c r="X79" s="33" t="str">
        <x:f>IF(G79="","",IFERROR(INDEX('加價服務矩陣'!$I$6:$I$29,MATCH(G79,'加價服務矩陣'!$A$6:$A$29,0)),0))</x:f>
      </x:c>
      <x:c r="Y79" s="33" t="str">
        <x:f>IF(W79="","",MAX(W79,X79))</x:f>
      </x:c>
      <x:c r="Z79" s="33"/>
      <x:c r="AA79" s="33" t="str">
        <x:f>IF(Y79="","",MAX(0,Y79-Z79))</x:f>
      </x:c>
      <x:c r="AB79" s="26"/>
      <x:c r="AC79" s="26"/>
      <x:c r="AD79" s="26"/>
      <x:c r="AE79" s="26"/>
      <x:c r="AF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  <x:c r="K80" s="26"/>
      <x:c r="L80" s="26"/>
      <x:c r="M80" s="26"/>
      <x:c r="N80" s="33"/>
      <x:c r="O80" s="33"/>
      <x:c r="P80" s="33"/>
      <x:c r="Q80" s="33"/>
      <x:c r="R80" s="33"/>
      <x:c r="S80" s="33"/>
      <x:c r="T80" s="33"/>
      <x:c r="U80" s="37" t="n">
        <x:f>'計價參數'!$B$7</x:f>
        <x:v>0.5</x:v>
      </x:c>
      <x:c r="V80" s="33" t="str">
        <x:f>IF(COUNTA(A80:T80)=0,"",K80*L80*'計價參數'!$B$5+M80*'計價參數'!$B$6+SUM(N80:T80))</x:f>
      </x:c>
      <x:c r="W80" s="33" t="str">
        <x:f>IF(V80="","",IF(U80&gt;=1,"",V80/(1-U80)))</x:f>
      </x:c>
      <x:c r="X80" s="33" t="str">
        <x:f>IF(G80="","",IFERROR(INDEX('加價服務矩陣'!$I$6:$I$29,MATCH(G80,'加價服務矩陣'!$A$6:$A$29,0)),0))</x:f>
      </x:c>
      <x:c r="Y80" s="33" t="str">
        <x:f>IF(W80="","",MAX(W80,X80))</x:f>
      </x:c>
      <x:c r="Z80" s="33"/>
      <x:c r="AA80" s="33" t="str">
        <x:f>IF(Y80="","",MAX(0,Y80-Z80))</x:f>
      </x:c>
      <x:c r="AB80" s="26"/>
      <x:c r="AC80" s="26"/>
      <x:c r="AD80" s="26"/>
      <x:c r="AE80" s="26"/>
      <x:c r="AF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  <x:c r="K81" s="26"/>
      <x:c r="L81" s="26"/>
      <x:c r="M81" s="26"/>
      <x:c r="N81" s="33"/>
      <x:c r="O81" s="33"/>
      <x:c r="P81" s="33"/>
      <x:c r="Q81" s="33"/>
      <x:c r="R81" s="33"/>
      <x:c r="S81" s="33"/>
      <x:c r="T81" s="33"/>
      <x:c r="U81" s="37" t="n">
        <x:f>'計價參數'!$B$7</x:f>
        <x:v>0.5</x:v>
      </x:c>
      <x:c r="V81" s="33" t="str">
        <x:f>IF(COUNTA(A81:T81)=0,"",K81*L81*'計價參數'!$B$5+M81*'計價參數'!$B$6+SUM(N81:T81))</x:f>
      </x:c>
      <x:c r="W81" s="33" t="str">
        <x:f>IF(V81="","",IF(U81&gt;=1,"",V81/(1-U81)))</x:f>
      </x:c>
      <x:c r="X81" s="33" t="str">
        <x:f>IF(G81="","",IFERROR(INDEX('加價服務矩陣'!$I$6:$I$29,MATCH(G81,'加價服務矩陣'!$A$6:$A$29,0)),0))</x:f>
      </x:c>
      <x:c r="Y81" s="33" t="str">
        <x:f>IF(W81="","",MAX(W81,X81))</x:f>
      </x:c>
      <x:c r="Z81" s="33"/>
      <x:c r="AA81" s="33" t="str">
        <x:f>IF(Y81="","",MAX(0,Y81-Z81))</x:f>
      </x:c>
      <x:c r="AB81" s="26"/>
      <x:c r="AC81" s="26"/>
      <x:c r="AD81" s="26"/>
      <x:c r="AE81" s="26"/>
      <x:c r="AF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  <x:c r="K82" s="26"/>
      <x:c r="L82" s="26"/>
      <x:c r="M82" s="26"/>
      <x:c r="N82" s="33"/>
      <x:c r="O82" s="33"/>
      <x:c r="P82" s="33"/>
      <x:c r="Q82" s="33"/>
      <x:c r="R82" s="33"/>
      <x:c r="S82" s="33"/>
      <x:c r="T82" s="33"/>
      <x:c r="U82" s="37" t="n">
        <x:f>'計價參數'!$B$7</x:f>
        <x:v>0.5</x:v>
      </x:c>
      <x:c r="V82" s="33" t="str">
        <x:f>IF(COUNTA(A82:T82)=0,"",K82*L82*'計價參數'!$B$5+M82*'計價參數'!$B$6+SUM(N82:T82))</x:f>
      </x:c>
      <x:c r="W82" s="33" t="str">
        <x:f>IF(V82="","",IF(U82&gt;=1,"",V82/(1-U82)))</x:f>
      </x:c>
      <x:c r="X82" s="33" t="str">
        <x:f>IF(G82="","",IFERROR(INDEX('加價服務矩陣'!$I$6:$I$29,MATCH(G82,'加價服務矩陣'!$A$6:$A$29,0)),0))</x:f>
      </x:c>
      <x:c r="Y82" s="33" t="str">
        <x:f>IF(W82="","",MAX(W82,X82))</x:f>
      </x:c>
      <x:c r="Z82" s="33"/>
      <x:c r="AA82" s="33" t="str">
        <x:f>IF(Y82="","",MAX(0,Y82-Z82))</x:f>
      </x:c>
      <x:c r="AB82" s="26"/>
      <x:c r="AC82" s="26"/>
      <x:c r="AD82" s="26"/>
      <x:c r="AE82" s="26"/>
      <x:c r="AF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  <x:c r="K83" s="26"/>
      <x:c r="L83" s="26"/>
      <x:c r="M83" s="26"/>
      <x:c r="N83" s="33"/>
      <x:c r="O83" s="33"/>
      <x:c r="P83" s="33"/>
      <x:c r="Q83" s="33"/>
      <x:c r="R83" s="33"/>
      <x:c r="S83" s="33"/>
      <x:c r="T83" s="33"/>
      <x:c r="U83" s="37" t="n">
        <x:f>'計價參數'!$B$7</x:f>
        <x:v>0.5</x:v>
      </x:c>
      <x:c r="V83" s="33" t="str">
        <x:f>IF(COUNTA(A83:T83)=0,"",K83*L83*'計價參數'!$B$5+M83*'計價參數'!$B$6+SUM(N83:T83))</x:f>
      </x:c>
      <x:c r="W83" s="33" t="str">
        <x:f>IF(V83="","",IF(U83&gt;=1,"",V83/(1-U83)))</x:f>
      </x:c>
      <x:c r="X83" s="33" t="str">
        <x:f>IF(G83="","",IFERROR(INDEX('加價服務矩陣'!$I$6:$I$29,MATCH(G83,'加價服務矩陣'!$A$6:$A$29,0)),0))</x:f>
      </x:c>
      <x:c r="Y83" s="33" t="str">
        <x:f>IF(W83="","",MAX(W83,X83))</x:f>
      </x:c>
      <x:c r="Z83" s="33"/>
      <x:c r="AA83" s="33" t="str">
        <x:f>IF(Y83="","",MAX(0,Y83-Z83))</x:f>
      </x:c>
      <x:c r="AB83" s="26"/>
      <x:c r="AC83" s="26"/>
      <x:c r="AD83" s="26"/>
      <x:c r="AE83" s="26"/>
      <x:c r="AF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33"/>
      <x:c r="O84" s="33"/>
      <x:c r="P84" s="33"/>
      <x:c r="Q84" s="33"/>
      <x:c r="R84" s="33"/>
      <x:c r="S84" s="33"/>
      <x:c r="T84" s="33"/>
      <x:c r="U84" s="37" t="n">
        <x:f>'計價參數'!$B$7</x:f>
        <x:v>0.5</x:v>
      </x:c>
      <x:c r="V84" s="33" t="str">
        <x:f>IF(COUNTA(A84:T84)=0,"",K84*L84*'計價參數'!$B$5+M84*'計價參數'!$B$6+SUM(N84:T84))</x:f>
      </x:c>
      <x:c r="W84" s="33" t="str">
        <x:f>IF(V84="","",IF(U84&gt;=1,"",V84/(1-U84)))</x:f>
      </x:c>
      <x:c r="X84" s="33" t="str">
        <x:f>IF(G84="","",IFERROR(INDEX('加價服務矩陣'!$I$6:$I$29,MATCH(G84,'加價服務矩陣'!$A$6:$A$29,0)),0))</x:f>
      </x:c>
      <x:c r="Y84" s="33" t="str">
        <x:f>IF(W84="","",MAX(W84,X84))</x:f>
      </x:c>
      <x:c r="Z84" s="33"/>
      <x:c r="AA84" s="33" t="str">
        <x:f>IF(Y84="","",MAX(0,Y84-Z84))</x:f>
      </x:c>
      <x:c r="AB84" s="26"/>
      <x:c r="AC84" s="26"/>
      <x:c r="AD84" s="26"/>
      <x:c r="AE84" s="26"/>
      <x:c r="AF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33"/>
      <x:c r="O85" s="33"/>
      <x:c r="P85" s="33"/>
      <x:c r="Q85" s="33"/>
      <x:c r="R85" s="33"/>
      <x:c r="S85" s="33"/>
      <x:c r="T85" s="33"/>
      <x:c r="U85" s="37" t="n">
        <x:f>'計價參數'!$B$7</x:f>
        <x:v>0.5</x:v>
      </x:c>
      <x:c r="V85" s="33" t="str">
        <x:f>IF(COUNTA(A85:T85)=0,"",K85*L85*'計價參數'!$B$5+M85*'計價參數'!$B$6+SUM(N85:T85))</x:f>
      </x:c>
      <x:c r="W85" s="33" t="str">
        <x:f>IF(V85="","",IF(U85&gt;=1,"",V85/(1-U85)))</x:f>
      </x:c>
      <x:c r="X85" s="33" t="str">
        <x:f>IF(G85="","",IFERROR(INDEX('加價服務矩陣'!$I$6:$I$29,MATCH(G85,'加價服務矩陣'!$A$6:$A$29,0)),0))</x:f>
      </x:c>
      <x:c r="Y85" s="33" t="str">
        <x:f>IF(W85="","",MAX(W85,X85))</x:f>
      </x:c>
      <x:c r="Z85" s="33"/>
      <x:c r="AA85" s="33" t="str">
        <x:f>IF(Y85="","",MAX(0,Y85-Z85))</x:f>
      </x:c>
      <x:c r="AB85" s="26"/>
      <x:c r="AC85" s="26"/>
      <x:c r="AD85" s="26"/>
      <x:c r="AE85" s="26"/>
      <x:c r="AF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  <x:c r="K86" s="26"/>
      <x:c r="L86" s="26"/>
      <x:c r="M86" s="26"/>
      <x:c r="N86" s="33"/>
      <x:c r="O86" s="33"/>
      <x:c r="P86" s="33"/>
      <x:c r="Q86" s="33"/>
      <x:c r="R86" s="33"/>
      <x:c r="S86" s="33"/>
      <x:c r="T86" s="33"/>
      <x:c r="U86" s="37" t="n">
        <x:f>'計價參數'!$B$7</x:f>
        <x:v>0.5</x:v>
      </x:c>
      <x:c r="V86" s="33" t="str">
        <x:f>IF(COUNTA(A86:T86)=0,"",K86*L86*'計價參數'!$B$5+M86*'計價參數'!$B$6+SUM(N86:T86))</x:f>
      </x:c>
      <x:c r="W86" s="33" t="str">
        <x:f>IF(V86="","",IF(U86&gt;=1,"",V86/(1-U86)))</x:f>
      </x:c>
      <x:c r="X86" s="33" t="str">
        <x:f>IF(G86="","",IFERROR(INDEX('加價服務矩陣'!$I$6:$I$29,MATCH(G86,'加價服務矩陣'!$A$6:$A$29,0)),0))</x:f>
      </x:c>
      <x:c r="Y86" s="33" t="str">
        <x:f>IF(W86="","",MAX(W86,X86))</x:f>
      </x:c>
      <x:c r="Z86" s="33"/>
      <x:c r="AA86" s="33" t="str">
        <x:f>IF(Y86="","",MAX(0,Y86-Z86))</x:f>
      </x:c>
      <x:c r="AB86" s="26"/>
      <x:c r="AC86" s="26"/>
      <x:c r="AD86" s="26"/>
      <x:c r="AE86" s="26"/>
      <x:c r="AF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  <x:c r="K87" s="26"/>
      <x:c r="L87" s="26"/>
      <x:c r="M87" s="26"/>
      <x:c r="N87" s="33"/>
      <x:c r="O87" s="33"/>
      <x:c r="P87" s="33"/>
      <x:c r="Q87" s="33"/>
      <x:c r="R87" s="33"/>
      <x:c r="S87" s="33"/>
      <x:c r="T87" s="33"/>
      <x:c r="U87" s="37" t="n">
        <x:f>'計價參數'!$B$7</x:f>
        <x:v>0.5</x:v>
      </x:c>
      <x:c r="V87" s="33" t="str">
        <x:f>IF(COUNTA(A87:T87)=0,"",K87*L87*'計價參數'!$B$5+M87*'計價參數'!$B$6+SUM(N87:T87))</x:f>
      </x:c>
      <x:c r="W87" s="33" t="str">
        <x:f>IF(V87="","",IF(U87&gt;=1,"",V87/(1-U87)))</x:f>
      </x:c>
      <x:c r="X87" s="33" t="str">
        <x:f>IF(G87="","",IFERROR(INDEX('加價服務矩陣'!$I$6:$I$29,MATCH(G87,'加價服務矩陣'!$A$6:$A$29,0)),0))</x:f>
      </x:c>
      <x:c r="Y87" s="33" t="str">
        <x:f>IF(W87="","",MAX(W87,X87))</x:f>
      </x:c>
      <x:c r="Z87" s="33"/>
      <x:c r="AA87" s="33" t="str">
        <x:f>IF(Y87="","",MAX(0,Y87-Z87))</x:f>
      </x:c>
      <x:c r="AB87" s="26"/>
      <x:c r="AC87" s="26"/>
      <x:c r="AD87" s="26"/>
      <x:c r="AE87" s="26"/>
      <x:c r="AF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  <x:c r="K88" s="26"/>
      <x:c r="L88" s="26"/>
      <x:c r="M88" s="26"/>
      <x:c r="N88" s="33"/>
      <x:c r="O88" s="33"/>
      <x:c r="P88" s="33"/>
      <x:c r="Q88" s="33"/>
      <x:c r="R88" s="33"/>
      <x:c r="S88" s="33"/>
      <x:c r="T88" s="33"/>
      <x:c r="U88" s="37" t="n">
        <x:f>'計價參數'!$B$7</x:f>
        <x:v>0.5</x:v>
      </x:c>
      <x:c r="V88" s="33" t="str">
        <x:f>IF(COUNTA(A88:T88)=0,"",K88*L88*'計價參數'!$B$5+M88*'計價參數'!$B$6+SUM(N88:T88))</x:f>
      </x:c>
      <x:c r="W88" s="33" t="str">
        <x:f>IF(V88="","",IF(U88&gt;=1,"",V88/(1-U88)))</x:f>
      </x:c>
      <x:c r="X88" s="33" t="str">
        <x:f>IF(G88="","",IFERROR(INDEX('加價服務矩陣'!$I$6:$I$29,MATCH(G88,'加價服務矩陣'!$A$6:$A$29,0)),0))</x:f>
      </x:c>
      <x:c r="Y88" s="33" t="str">
        <x:f>IF(W88="","",MAX(W88,X88))</x:f>
      </x:c>
      <x:c r="Z88" s="33"/>
      <x:c r="AA88" s="33" t="str">
        <x:f>IF(Y88="","",MAX(0,Y88-Z88))</x:f>
      </x:c>
      <x:c r="AB88" s="26"/>
      <x:c r="AC88" s="26"/>
      <x:c r="AD88" s="26"/>
      <x:c r="AE88" s="26"/>
      <x:c r="AF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  <x:c r="K89" s="26"/>
      <x:c r="L89" s="26"/>
      <x:c r="M89" s="26"/>
      <x:c r="N89" s="33"/>
      <x:c r="O89" s="33"/>
      <x:c r="P89" s="33"/>
      <x:c r="Q89" s="33"/>
      <x:c r="R89" s="33"/>
      <x:c r="S89" s="33"/>
      <x:c r="T89" s="33"/>
      <x:c r="U89" s="37" t="n">
        <x:f>'計價參數'!$B$7</x:f>
        <x:v>0.5</x:v>
      </x:c>
      <x:c r="V89" s="33" t="str">
        <x:f>IF(COUNTA(A89:T89)=0,"",K89*L89*'計價參數'!$B$5+M89*'計價參數'!$B$6+SUM(N89:T89))</x:f>
      </x:c>
      <x:c r="W89" s="33" t="str">
        <x:f>IF(V89="","",IF(U89&gt;=1,"",V89/(1-U89)))</x:f>
      </x:c>
      <x:c r="X89" s="33" t="str">
        <x:f>IF(G89="","",IFERROR(INDEX('加價服務矩陣'!$I$6:$I$29,MATCH(G89,'加價服務矩陣'!$A$6:$A$29,0)),0))</x:f>
      </x:c>
      <x:c r="Y89" s="33" t="str">
        <x:f>IF(W89="","",MAX(W89,X89))</x:f>
      </x:c>
      <x:c r="Z89" s="33"/>
      <x:c r="AA89" s="33" t="str">
        <x:f>IF(Y89="","",MAX(0,Y89-Z89))</x:f>
      </x:c>
      <x:c r="AB89" s="26"/>
      <x:c r="AC89" s="26"/>
      <x:c r="AD89" s="26"/>
      <x:c r="AE89" s="26"/>
      <x:c r="AF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  <x:c r="K90" s="26"/>
      <x:c r="L90" s="26"/>
      <x:c r="M90" s="26"/>
      <x:c r="N90" s="33"/>
      <x:c r="O90" s="33"/>
      <x:c r="P90" s="33"/>
      <x:c r="Q90" s="33"/>
      <x:c r="R90" s="33"/>
      <x:c r="S90" s="33"/>
      <x:c r="T90" s="33"/>
      <x:c r="U90" s="37" t="n">
        <x:f>'計價參數'!$B$7</x:f>
        <x:v>0.5</x:v>
      </x:c>
      <x:c r="V90" s="33" t="str">
        <x:f>IF(COUNTA(A90:T90)=0,"",K90*L90*'計價參數'!$B$5+M90*'計價參數'!$B$6+SUM(N90:T90))</x:f>
      </x:c>
      <x:c r="W90" s="33" t="str">
        <x:f>IF(V90="","",IF(U90&gt;=1,"",V90/(1-U90)))</x:f>
      </x:c>
      <x:c r="X90" s="33" t="str">
        <x:f>IF(G90="","",IFERROR(INDEX('加價服務矩陣'!$I$6:$I$29,MATCH(G90,'加價服務矩陣'!$A$6:$A$29,0)),0))</x:f>
      </x:c>
      <x:c r="Y90" s="33" t="str">
        <x:f>IF(W90="","",MAX(W90,X90))</x:f>
      </x:c>
      <x:c r="Z90" s="33"/>
      <x:c r="AA90" s="33" t="str">
        <x:f>IF(Y90="","",MAX(0,Y90-Z90))</x:f>
      </x:c>
      <x:c r="AB90" s="26"/>
      <x:c r="AC90" s="26"/>
      <x:c r="AD90" s="26"/>
      <x:c r="AE90" s="26"/>
      <x:c r="AF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  <x:c r="K91" s="26"/>
      <x:c r="L91" s="26"/>
      <x:c r="M91" s="26"/>
      <x:c r="N91" s="33"/>
      <x:c r="O91" s="33"/>
      <x:c r="P91" s="33"/>
      <x:c r="Q91" s="33"/>
      <x:c r="R91" s="33"/>
      <x:c r="S91" s="33"/>
      <x:c r="T91" s="33"/>
      <x:c r="U91" s="37" t="n">
        <x:f>'計價參數'!$B$7</x:f>
        <x:v>0.5</x:v>
      </x:c>
      <x:c r="V91" s="33" t="str">
        <x:f>IF(COUNTA(A91:T91)=0,"",K91*L91*'計價參數'!$B$5+M91*'計價參數'!$B$6+SUM(N91:T91))</x:f>
      </x:c>
      <x:c r="W91" s="33" t="str">
        <x:f>IF(V91="","",IF(U91&gt;=1,"",V91/(1-U91)))</x:f>
      </x:c>
      <x:c r="X91" s="33" t="str">
        <x:f>IF(G91="","",IFERROR(INDEX('加價服務矩陣'!$I$6:$I$29,MATCH(G91,'加價服務矩陣'!$A$6:$A$29,0)),0))</x:f>
      </x:c>
      <x:c r="Y91" s="33" t="str">
        <x:f>IF(W91="","",MAX(W91,X91))</x:f>
      </x:c>
      <x:c r="Z91" s="33"/>
      <x:c r="AA91" s="33" t="str">
        <x:f>IF(Y91="","",MAX(0,Y91-Z91))</x:f>
      </x:c>
      <x:c r="AB91" s="26"/>
      <x:c r="AC91" s="26"/>
      <x:c r="AD91" s="26"/>
      <x:c r="AE91" s="26"/>
      <x:c r="AF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  <x:c r="K92" s="26"/>
      <x:c r="L92" s="26"/>
      <x:c r="M92" s="26"/>
      <x:c r="N92" s="33"/>
      <x:c r="O92" s="33"/>
      <x:c r="P92" s="33"/>
      <x:c r="Q92" s="33"/>
      <x:c r="R92" s="33"/>
      <x:c r="S92" s="33"/>
      <x:c r="T92" s="33"/>
      <x:c r="U92" s="37" t="n">
        <x:f>'計價參數'!$B$7</x:f>
        <x:v>0.5</x:v>
      </x:c>
      <x:c r="V92" s="33" t="str">
        <x:f>IF(COUNTA(A92:T92)=0,"",K92*L92*'計價參數'!$B$5+M92*'計價參數'!$B$6+SUM(N92:T92))</x:f>
      </x:c>
      <x:c r="W92" s="33" t="str">
        <x:f>IF(V92="","",IF(U92&gt;=1,"",V92/(1-U92)))</x:f>
      </x:c>
      <x:c r="X92" s="33" t="str">
        <x:f>IF(G92="","",IFERROR(INDEX('加價服務矩陣'!$I$6:$I$29,MATCH(G92,'加價服務矩陣'!$A$6:$A$29,0)),0))</x:f>
      </x:c>
      <x:c r="Y92" s="33" t="str">
        <x:f>IF(W92="","",MAX(W92,X92))</x:f>
      </x:c>
      <x:c r="Z92" s="33"/>
      <x:c r="AA92" s="33" t="str">
        <x:f>IF(Y92="","",MAX(0,Y92-Z92))</x:f>
      </x:c>
      <x:c r="AB92" s="26"/>
      <x:c r="AC92" s="26"/>
      <x:c r="AD92" s="26"/>
      <x:c r="AE92" s="26"/>
      <x:c r="AF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  <x:c r="K93" s="26"/>
      <x:c r="L93" s="26"/>
      <x:c r="M93" s="26"/>
      <x:c r="N93" s="33"/>
      <x:c r="O93" s="33"/>
      <x:c r="P93" s="33"/>
      <x:c r="Q93" s="33"/>
      <x:c r="R93" s="33"/>
      <x:c r="S93" s="33"/>
      <x:c r="T93" s="33"/>
      <x:c r="U93" s="37" t="n">
        <x:f>'計價參數'!$B$7</x:f>
        <x:v>0.5</x:v>
      </x:c>
      <x:c r="V93" s="33" t="str">
        <x:f>IF(COUNTA(A93:T93)=0,"",K93*L93*'計價參數'!$B$5+M93*'計價參數'!$B$6+SUM(N93:T93))</x:f>
      </x:c>
      <x:c r="W93" s="33" t="str">
        <x:f>IF(V93="","",IF(U93&gt;=1,"",V93/(1-U93)))</x:f>
      </x:c>
      <x:c r="X93" s="33" t="str">
        <x:f>IF(G93="","",IFERROR(INDEX('加價服務矩陣'!$I$6:$I$29,MATCH(G93,'加價服務矩陣'!$A$6:$A$29,0)),0))</x:f>
      </x:c>
      <x:c r="Y93" s="33" t="str">
        <x:f>IF(W93="","",MAX(W93,X93))</x:f>
      </x:c>
      <x:c r="Z93" s="33"/>
      <x:c r="AA93" s="33" t="str">
        <x:f>IF(Y93="","",MAX(0,Y93-Z93))</x:f>
      </x:c>
      <x:c r="AB93" s="26"/>
      <x:c r="AC93" s="26"/>
      <x:c r="AD93" s="26"/>
      <x:c r="AE93" s="26"/>
      <x:c r="AF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  <x:c r="K94" s="26"/>
      <x:c r="L94" s="26"/>
      <x:c r="M94" s="26"/>
      <x:c r="N94" s="33"/>
      <x:c r="O94" s="33"/>
      <x:c r="P94" s="33"/>
      <x:c r="Q94" s="33"/>
      <x:c r="R94" s="33"/>
      <x:c r="S94" s="33"/>
      <x:c r="T94" s="33"/>
      <x:c r="U94" s="37" t="n">
        <x:f>'計價參數'!$B$7</x:f>
        <x:v>0.5</x:v>
      </x:c>
      <x:c r="V94" s="33" t="str">
        <x:f>IF(COUNTA(A94:T94)=0,"",K94*L94*'計價參數'!$B$5+M94*'計價參數'!$B$6+SUM(N94:T94))</x:f>
      </x:c>
      <x:c r="W94" s="33" t="str">
        <x:f>IF(V94="","",IF(U94&gt;=1,"",V94/(1-U94)))</x:f>
      </x:c>
      <x:c r="X94" s="33" t="str">
        <x:f>IF(G94="","",IFERROR(INDEX('加價服務矩陣'!$I$6:$I$29,MATCH(G94,'加價服務矩陣'!$A$6:$A$29,0)),0))</x:f>
      </x:c>
      <x:c r="Y94" s="33" t="str">
        <x:f>IF(W94="","",MAX(W94,X94))</x:f>
      </x:c>
      <x:c r="Z94" s="33"/>
      <x:c r="AA94" s="33" t="str">
        <x:f>IF(Y94="","",MAX(0,Y94-Z94))</x:f>
      </x:c>
      <x:c r="AB94" s="26"/>
      <x:c r="AC94" s="26"/>
      <x:c r="AD94" s="26"/>
      <x:c r="AE94" s="26"/>
      <x:c r="AF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  <x:c r="K95" s="26"/>
      <x:c r="L95" s="26"/>
      <x:c r="M95" s="26"/>
      <x:c r="N95" s="33"/>
      <x:c r="O95" s="33"/>
      <x:c r="P95" s="33"/>
      <x:c r="Q95" s="33"/>
      <x:c r="R95" s="33"/>
      <x:c r="S95" s="33"/>
      <x:c r="T95" s="33"/>
      <x:c r="U95" s="37" t="n">
        <x:f>'計價參數'!$B$7</x:f>
        <x:v>0.5</x:v>
      </x:c>
      <x:c r="V95" s="33" t="str">
        <x:f>IF(COUNTA(A95:T95)=0,"",K95*L95*'計價參數'!$B$5+M95*'計價參數'!$B$6+SUM(N95:T95))</x:f>
      </x:c>
      <x:c r="W95" s="33" t="str">
        <x:f>IF(V95="","",IF(U95&gt;=1,"",V95/(1-U95)))</x:f>
      </x:c>
      <x:c r="X95" s="33" t="str">
        <x:f>IF(G95="","",IFERROR(INDEX('加價服務矩陣'!$I$6:$I$29,MATCH(G95,'加價服務矩陣'!$A$6:$A$29,0)),0))</x:f>
      </x:c>
      <x:c r="Y95" s="33" t="str">
        <x:f>IF(W95="","",MAX(W95,X95))</x:f>
      </x:c>
      <x:c r="Z95" s="33"/>
      <x:c r="AA95" s="33" t="str">
        <x:f>IF(Y95="","",MAX(0,Y95-Z95))</x:f>
      </x:c>
      <x:c r="AB95" s="26"/>
      <x:c r="AC95" s="26"/>
      <x:c r="AD95" s="26"/>
      <x:c r="AE95" s="26"/>
      <x:c r="AF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  <x:c r="K96" s="26"/>
      <x:c r="L96" s="26"/>
      <x:c r="M96" s="26"/>
      <x:c r="N96" s="33"/>
      <x:c r="O96" s="33"/>
      <x:c r="P96" s="33"/>
      <x:c r="Q96" s="33"/>
      <x:c r="R96" s="33"/>
      <x:c r="S96" s="33"/>
      <x:c r="T96" s="33"/>
      <x:c r="U96" s="37" t="n">
        <x:f>'計價參數'!$B$7</x:f>
        <x:v>0.5</x:v>
      </x:c>
      <x:c r="V96" s="33" t="str">
        <x:f>IF(COUNTA(A96:T96)=0,"",K96*L96*'計價參數'!$B$5+M96*'計價參數'!$B$6+SUM(N96:T96))</x:f>
      </x:c>
      <x:c r="W96" s="33" t="str">
        <x:f>IF(V96="","",IF(U96&gt;=1,"",V96/(1-U96)))</x:f>
      </x:c>
      <x:c r="X96" s="33" t="str">
        <x:f>IF(G96="","",IFERROR(INDEX('加價服務矩陣'!$I$6:$I$29,MATCH(G96,'加價服務矩陣'!$A$6:$A$29,0)),0))</x:f>
      </x:c>
      <x:c r="Y96" s="33" t="str">
        <x:f>IF(W96="","",MAX(W96,X96))</x:f>
      </x:c>
      <x:c r="Z96" s="33"/>
      <x:c r="AA96" s="33" t="str">
        <x:f>IF(Y96="","",MAX(0,Y96-Z96))</x:f>
      </x:c>
      <x:c r="AB96" s="26"/>
      <x:c r="AC96" s="26"/>
      <x:c r="AD96" s="26"/>
      <x:c r="AE96" s="26"/>
      <x:c r="AF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  <x:c r="K97" s="26"/>
      <x:c r="L97" s="26"/>
      <x:c r="M97" s="26"/>
      <x:c r="N97" s="33"/>
      <x:c r="O97" s="33"/>
      <x:c r="P97" s="33"/>
      <x:c r="Q97" s="33"/>
      <x:c r="R97" s="33"/>
      <x:c r="S97" s="33"/>
      <x:c r="T97" s="33"/>
      <x:c r="U97" s="37" t="n">
        <x:f>'計價參數'!$B$7</x:f>
        <x:v>0.5</x:v>
      </x:c>
      <x:c r="V97" s="33" t="str">
        <x:f>IF(COUNTA(A97:T97)=0,"",K97*L97*'計價參數'!$B$5+M97*'計價參數'!$B$6+SUM(N97:T97))</x:f>
      </x:c>
      <x:c r="W97" s="33" t="str">
        <x:f>IF(V97="","",IF(U97&gt;=1,"",V97/(1-U97)))</x:f>
      </x:c>
      <x:c r="X97" s="33" t="str">
        <x:f>IF(G97="","",IFERROR(INDEX('加價服務矩陣'!$I$6:$I$29,MATCH(G97,'加價服務矩陣'!$A$6:$A$29,0)),0))</x:f>
      </x:c>
      <x:c r="Y97" s="33" t="str">
        <x:f>IF(W97="","",MAX(W97,X97))</x:f>
      </x:c>
      <x:c r="Z97" s="33"/>
      <x:c r="AA97" s="33" t="str">
        <x:f>IF(Y97="","",MAX(0,Y97-Z97))</x:f>
      </x:c>
      <x:c r="AB97" s="26"/>
      <x:c r="AC97" s="26"/>
      <x:c r="AD97" s="26"/>
      <x:c r="AE97" s="26"/>
      <x:c r="AF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  <x:c r="K98" s="26"/>
      <x:c r="L98" s="26"/>
      <x:c r="M98" s="26"/>
      <x:c r="N98" s="33"/>
      <x:c r="O98" s="33"/>
      <x:c r="P98" s="33"/>
      <x:c r="Q98" s="33"/>
      <x:c r="R98" s="33"/>
      <x:c r="S98" s="33"/>
      <x:c r="T98" s="33"/>
      <x:c r="U98" s="37" t="n">
        <x:f>'計價參數'!$B$7</x:f>
        <x:v>0.5</x:v>
      </x:c>
      <x:c r="V98" s="33" t="str">
        <x:f>IF(COUNTA(A98:T98)=0,"",K98*L98*'計價參數'!$B$5+M98*'計價參數'!$B$6+SUM(N98:T98))</x:f>
      </x:c>
      <x:c r="W98" s="33" t="str">
        <x:f>IF(V98="","",IF(U98&gt;=1,"",V98/(1-U98)))</x:f>
      </x:c>
      <x:c r="X98" s="33" t="str">
        <x:f>IF(G98="","",IFERROR(INDEX('加價服務矩陣'!$I$6:$I$29,MATCH(G98,'加價服務矩陣'!$A$6:$A$29,0)),0))</x:f>
      </x:c>
      <x:c r="Y98" s="33" t="str">
        <x:f>IF(W98="","",MAX(W98,X98))</x:f>
      </x:c>
      <x:c r="Z98" s="33"/>
      <x:c r="AA98" s="33" t="str">
        <x:f>IF(Y98="","",MAX(0,Y98-Z98))</x:f>
      </x:c>
      <x:c r="AB98" s="26"/>
      <x:c r="AC98" s="26"/>
      <x:c r="AD98" s="26"/>
      <x:c r="AE98" s="26"/>
      <x:c r="AF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  <x:c r="K99" s="26"/>
      <x:c r="L99" s="26"/>
      <x:c r="M99" s="26"/>
      <x:c r="N99" s="33"/>
      <x:c r="O99" s="33"/>
      <x:c r="P99" s="33"/>
      <x:c r="Q99" s="33"/>
      <x:c r="R99" s="33"/>
      <x:c r="S99" s="33"/>
      <x:c r="T99" s="33"/>
      <x:c r="U99" s="37" t="n">
        <x:f>'計價參數'!$B$7</x:f>
        <x:v>0.5</x:v>
      </x:c>
      <x:c r="V99" s="33" t="str">
        <x:f>IF(COUNTA(A99:T99)=0,"",K99*L99*'計價參數'!$B$5+M99*'計價參數'!$B$6+SUM(N99:T99))</x:f>
      </x:c>
      <x:c r="W99" s="33" t="str">
        <x:f>IF(V99="","",IF(U99&gt;=1,"",V99/(1-U99)))</x:f>
      </x:c>
      <x:c r="X99" s="33" t="str">
        <x:f>IF(G99="","",IFERROR(INDEX('加價服務矩陣'!$I$6:$I$29,MATCH(G99,'加價服務矩陣'!$A$6:$A$29,0)),0))</x:f>
      </x:c>
      <x:c r="Y99" s="33" t="str">
        <x:f>IF(W99="","",MAX(W99,X99))</x:f>
      </x:c>
      <x:c r="Z99" s="33"/>
      <x:c r="AA99" s="33" t="str">
        <x:f>IF(Y99="","",MAX(0,Y99-Z99))</x:f>
      </x:c>
      <x:c r="AB99" s="26"/>
      <x:c r="AC99" s="26"/>
      <x:c r="AD99" s="26"/>
      <x:c r="AE99" s="26"/>
      <x:c r="AF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  <x:c r="K100" s="26"/>
      <x:c r="L100" s="26"/>
      <x:c r="M100" s="26"/>
      <x:c r="N100" s="33"/>
      <x:c r="O100" s="33"/>
      <x:c r="P100" s="33"/>
      <x:c r="Q100" s="33"/>
      <x:c r="R100" s="33"/>
      <x:c r="S100" s="33"/>
      <x:c r="T100" s="33"/>
      <x:c r="U100" s="37" t="n">
        <x:f>'計價參數'!$B$7</x:f>
        <x:v>0.5</x:v>
      </x:c>
      <x:c r="V100" s="33" t="str">
        <x:f>IF(COUNTA(A100:T100)=0,"",K100*L100*'計價參數'!$B$5+M100*'計價參數'!$B$6+SUM(N100:T100))</x:f>
      </x:c>
      <x:c r="W100" s="33" t="str">
        <x:f>IF(V100="","",IF(U100&gt;=1,"",V100/(1-U100)))</x:f>
      </x:c>
      <x:c r="X100" s="33" t="str">
        <x:f>IF(G100="","",IFERROR(INDEX('加價服務矩陣'!$I$6:$I$29,MATCH(G100,'加價服務矩陣'!$A$6:$A$29,0)),0))</x:f>
      </x:c>
      <x:c r="Y100" s="33" t="str">
        <x:f>IF(W100="","",MAX(W100,X100))</x:f>
      </x:c>
      <x:c r="Z100" s="33"/>
      <x:c r="AA100" s="33" t="str">
        <x:f>IF(Y100="","",MAX(0,Y100-Z100))</x:f>
      </x:c>
      <x:c r="AB100" s="26"/>
      <x:c r="AC100" s="26"/>
      <x:c r="AD100" s="26"/>
      <x:c r="AE100" s="26"/>
      <x:c r="AF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  <x:c r="K101" s="26"/>
      <x:c r="L101" s="26"/>
      <x:c r="M101" s="26"/>
      <x:c r="N101" s="33"/>
      <x:c r="O101" s="33"/>
      <x:c r="P101" s="33"/>
      <x:c r="Q101" s="33"/>
      <x:c r="R101" s="33"/>
      <x:c r="S101" s="33"/>
      <x:c r="T101" s="33"/>
      <x:c r="U101" s="37" t="n">
        <x:f>'計價參數'!$B$7</x:f>
        <x:v>0.5</x:v>
      </x:c>
      <x:c r="V101" s="33" t="str">
        <x:f>IF(COUNTA(A101:T101)=0,"",K101*L101*'計價參數'!$B$5+M101*'計價參數'!$B$6+SUM(N101:T101))</x:f>
      </x:c>
      <x:c r="W101" s="33" t="str">
        <x:f>IF(V101="","",IF(U101&gt;=1,"",V101/(1-U101)))</x:f>
      </x:c>
      <x:c r="X101" s="33" t="str">
        <x:f>IF(G101="","",IFERROR(INDEX('加價服務矩陣'!$I$6:$I$29,MATCH(G101,'加價服務矩陣'!$A$6:$A$29,0)),0))</x:f>
      </x:c>
      <x:c r="Y101" s="33" t="str">
        <x:f>IF(W101="","",MAX(W101,X101))</x:f>
      </x:c>
      <x:c r="Z101" s="33"/>
      <x:c r="AA101" s="33" t="str">
        <x:f>IF(Y101="","",MAX(0,Y101-Z101))</x:f>
      </x:c>
      <x:c r="AB101" s="26"/>
      <x:c r="AC101" s="26"/>
      <x:c r="AD101" s="26"/>
      <x:c r="AE101" s="26"/>
      <x:c r="AF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  <x:c r="K102" s="26"/>
      <x:c r="L102" s="26"/>
      <x:c r="M102" s="26"/>
      <x:c r="N102" s="33"/>
      <x:c r="O102" s="33"/>
      <x:c r="P102" s="33"/>
      <x:c r="Q102" s="33"/>
      <x:c r="R102" s="33"/>
      <x:c r="S102" s="33"/>
      <x:c r="T102" s="33"/>
      <x:c r="U102" s="37" t="n">
        <x:f>'計價參數'!$B$7</x:f>
        <x:v>0.5</x:v>
      </x:c>
      <x:c r="V102" s="33" t="str">
        <x:f>IF(COUNTA(A102:T102)=0,"",K102*L102*'計價參數'!$B$5+M102*'計價參數'!$B$6+SUM(N102:T102))</x:f>
      </x:c>
      <x:c r="W102" s="33" t="str">
        <x:f>IF(V102="","",IF(U102&gt;=1,"",V102/(1-U102)))</x:f>
      </x:c>
      <x:c r="X102" s="33" t="str">
        <x:f>IF(G102="","",IFERROR(INDEX('加價服務矩陣'!$I$6:$I$29,MATCH(G102,'加價服務矩陣'!$A$6:$A$29,0)),0))</x:f>
      </x:c>
      <x:c r="Y102" s="33" t="str">
        <x:f>IF(W102="","",MAX(W102,X102))</x:f>
      </x:c>
      <x:c r="Z102" s="33"/>
      <x:c r="AA102" s="33" t="str">
        <x:f>IF(Y102="","",MAX(0,Y102-Z102))</x:f>
      </x:c>
      <x:c r="AB102" s="26"/>
      <x:c r="AC102" s="26"/>
      <x:c r="AD102" s="26"/>
      <x:c r="AE102" s="26"/>
      <x:c r="AF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  <x:c r="K103" s="26"/>
      <x:c r="L103" s="26"/>
      <x:c r="M103" s="26"/>
      <x:c r="N103" s="33"/>
      <x:c r="O103" s="33"/>
      <x:c r="P103" s="33"/>
      <x:c r="Q103" s="33"/>
      <x:c r="R103" s="33"/>
      <x:c r="S103" s="33"/>
      <x:c r="T103" s="33"/>
      <x:c r="U103" s="37" t="n">
        <x:f>'計價參數'!$B$7</x:f>
        <x:v>0.5</x:v>
      </x:c>
      <x:c r="V103" s="33" t="str">
        <x:f>IF(COUNTA(A103:T103)=0,"",K103*L103*'計價參數'!$B$5+M103*'計價參數'!$B$6+SUM(N103:T103))</x:f>
      </x:c>
      <x:c r="W103" s="33" t="str">
        <x:f>IF(V103="","",IF(U103&gt;=1,"",V103/(1-U103)))</x:f>
      </x:c>
      <x:c r="X103" s="33" t="str">
        <x:f>IF(G103="","",IFERROR(INDEX('加價服務矩陣'!$I$6:$I$29,MATCH(G103,'加價服務矩陣'!$A$6:$A$29,0)),0))</x:f>
      </x:c>
      <x:c r="Y103" s="33" t="str">
        <x:f>IF(W103="","",MAX(W103,X103))</x:f>
      </x:c>
      <x:c r="Z103" s="33"/>
      <x:c r="AA103" s="33" t="str">
        <x:f>IF(Y103="","",MAX(0,Y103-Z103))</x:f>
      </x:c>
      <x:c r="AB103" s="26"/>
      <x:c r="AC103" s="26"/>
      <x:c r="AD103" s="26"/>
      <x:c r="AE103" s="26"/>
      <x:c r="AF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  <x:c r="K104" s="26"/>
      <x:c r="L104" s="26"/>
      <x:c r="M104" s="26"/>
      <x:c r="N104" s="33"/>
      <x:c r="O104" s="33"/>
      <x:c r="P104" s="33"/>
      <x:c r="Q104" s="33"/>
      <x:c r="R104" s="33"/>
      <x:c r="S104" s="33"/>
      <x:c r="T104" s="33"/>
      <x:c r="U104" s="37" t="n">
        <x:f>'計價參數'!$B$7</x:f>
        <x:v>0.5</x:v>
      </x:c>
      <x:c r="V104" s="33" t="str">
        <x:f>IF(COUNTA(A104:T104)=0,"",K104*L104*'計價參數'!$B$5+M104*'計價參數'!$B$6+SUM(N104:T104))</x:f>
      </x:c>
      <x:c r="W104" s="33" t="str">
        <x:f>IF(V104="","",IF(U104&gt;=1,"",V104/(1-U104)))</x:f>
      </x:c>
      <x:c r="X104" s="33" t="str">
        <x:f>IF(G104="","",IFERROR(INDEX('加價服務矩陣'!$I$6:$I$29,MATCH(G104,'加價服務矩陣'!$A$6:$A$29,0)),0))</x:f>
      </x:c>
      <x:c r="Y104" s="33" t="str">
        <x:f>IF(W104="","",MAX(W104,X104))</x:f>
      </x:c>
      <x:c r="Z104" s="33"/>
      <x:c r="AA104" s="33" t="str">
        <x:f>IF(Y104="","",MAX(0,Y104-Z104))</x:f>
      </x:c>
      <x:c r="AB104" s="26"/>
      <x:c r="AC104" s="26"/>
      <x:c r="AD104" s="26"/>
      <x:c r="AE104" s="26"/>
      <x:c r="AF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  <x:c r="K105" s="26"/>
      <x:c r="L105" s="26"/>
      <x:c r="M105" s="26"/>
      <x:c r="N105" s="33"/>
      <x:c r="O105" s="33"/>
      <x:c r="P105" s="33"/>
      <x:c r="Q105" s="33"/>
      <x:c r="R105" s="33"/>
      <x:c r="S105" s="33"/>
      <x:c r="T105" s="33"/>
      <x:c r="U105" s="37" t="n">
        <x:f>'計價參數'!$B$7</x:f>
        <x:v>0.5</x:v>
      </x:c>
      <x:c r="V105" s="33" t="str">
        <x:f>IF(COUNTA(A105:T105)=0,"",K105*L105*'計價參數'!$B$5+M105*'計價參數'!$B$6+SUM(N105:T105))</x:f>
      </x:c>
      <x:c r="W105" s="33" t="str">
        <x:f>IF(V105="","",IF(U105&gt;=1,"",V105/(1-U105)))</x:f>
      </x:c>
      <x:c r="X105" s="33" t="str">
        <x:f>IF(G105="","",IFERROR(INDEX('加價服務矩陣'!$I$6:$I$29,MATCH(G105,'加價服務矩陣'!$A$6:$A$29,0)),0))</x:f>
      </x:c>
      <x:c r="Y105" s="33" t="str">
        <x:f>IF(W105="","",MAX(W105,X105))</x:f>
      </x:c>
      <x:c r="Z105" s="33"/>
      <x:c r="AA105" s="33" t="str">
        <x:f>IF(Y105="","",MAX(0,Y105-Z105))</x:f>
      </x:c>
      <x:c r="AB105" s="26"/>
      <x:c r="AC105" s="26"/>
      <x:c r="AD105" s="26"/>
      <x:c r="AE105" s="26"/>
      <x:c r="AF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  <x:c r="K106" s="26"/>
      <x:c r="L106" s="26"/>
      <x:c r="M106" s="26"/>
      <x:c r="N106" s="33"/>
      <x:c r="O106" s="33"/>
      <x:c r="P106" s="33"/>
      <x:c r="Q106" s="33"/>
      <x:c r="R106" s="33"/>
      <x:c r="S106" s="33"/>
      <x:c r="T106" s="33"/>
      <x:c r="U106" s="37" t="n">
        <x:f>'計價參數'!$B$7</x:f>
        <x:v>0.5</x:v>
      </x:c>
      <x:c r="V106" s="33" t="str">
        <x:f>IF(COUNTA(A106:T106)=0,"",K106*L106*'計價參數'!$B$5+M106*'計價參數'!$B$6+SUM(N106:T106))</x:f>
      </x:c>
      <x:c r="W106" s="33" t="str">
        <x:f>IF(V106="","",IF(U106&gt;=1,"",V106/(1-U106)))</x:f>
      </x:c>
      <x:c r="X106" s="33" t="str">
        <x:f>IF(G106="","",IFERROR(INDEX('加價服務矩陣'!$I$6:$I$29,MATCH(G106,'加價服務矩陣'!$A$6:$A$29,0)),0))</x:f>
      </x:c>
      <x:c r="Y106" s="33" t="str">
        <x:f>IF(W106="","",MAX(W106,X106))</x:f>
      </x:c>
      <x:c r="Z106" s="33"/>
      <x:c r="AA106" s="33" t="str">
        <x:f>IF(Y106="","",MAX(0,Y106-Z106))</x:f>
      </x:c>
      <x:c r="AB106" s="26"/>
      <x:c r="AC106" s="26"/>
      <x:c r="AD106" s="26"/>
      <x:c r="AE106" s="26"/>
      <x:c r="AF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  <x:c r="K107" s="26"/>
      <x:c r="L107" s="26"/>
      <x:c r="M107" s="26"/>
      <x:c r="N107" s="33"/>
      <x:c r="O107" s="33"/>
      <x:c r="P107" s="33"/>
      <x:c r="Q107" s="33"/>
      <x:c r="R107" s="33"/>
      <x:c r="S107" s="33"/>
      <x:c r="T107" s="33"/>
      <x:c r="U107" s="37" t="n">
        <x:f>'計價參數'!$B$7</x:f>
        <x:v>0.5</x:v>
      </x:c>
      <x:c r="V107" s="33" t="str">
        <x:f>IF(COUNTA(A107:T107)=0,"",K107*L107*'計價參數'!$B$5+M107*'計價參數'!$B$6+SUM(N107:T107))</x:f>
      </x:c>
      <x:c r="W107" s="33" t="str">
        <x:f>IF(V107="","",IF(U107&gt;=1,"",V107/(1-U107)))</x:f>
      </x:c>
      <x:c r="X107" s="33" t="str">
        <x:f>IF(G107="","",IFERROR(INDEX('加價服務矩陣'!$I$6:$I$29,MATCH(G107,'加價服務矩陣'!$A$6:$A$29,0)),0))</x:f>
      </x:c>
      <x:c r="Y107" s="33" t="str">
        <x:f>IF(W107="","",MAX(W107,X107))</x:f>
      </x:c>
      <x:c r="Z107" s="33"/>
      <x:c r="AA107" s="33" t="str">
        <x:f>IF(Y107="","",MAX(0,Y107-Z107))</x:f>
      </x:c>
      <x:c r="AB107" s="26"/>
      <x:c r="AC107" s="26"/>
      <x:c r="AD107" s="26"/>
      <x:c r="AE107" s="26"/>
      <x:c r="AF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  <x:c r="K108" s="26"/>
      <x:c r="L108" s="26"/>
      <x:c r="M108" s="26"/>
      <x:c r="N108" s="33"/>
      <x:c r="O108" s="33"/>
      <x:c r="P108" s="33"/>
      <x:c r="Q108" s="33"/>
      <x:c r="R108" s="33"/>
      <x:c r="S108" s="33"/>
      <x:c r="T108" s="33"/>
      <x:c r="U108" s="37" t="n">
        <x:f>'計價參數'!$B$7</x:f>
        <x:v>0.5</x:v>
      </x:c>
      <x:c r="V108" s="33" t="str">
        <x:f>IF(COUNTA(A108:T108)=0,"",K108*L108*'計價參數'!$B$5+M108*'計價參數'!$B$6+SUM(N108:T108))</x:f>
      </x:c>
      <x:c r="W108" s="33" t="str">
        <x:f>IF(V108="","",IF(U108&gt;=1,"",V108/(1-U108)))</x:f>
      </x:c>
      <x:c r="X108" s="33" t="str">
        <x:f>IF(G108="","",IFERROR(INDEX('加價服務矩陣'!$I$6:$I$29,MATCH(G108,'加價服務矩陣'!$A$6:$A$29,0)),0))</x:f>
      </x:c>
      <x:c r="Y108" s="33" t="str">
        <x:f>IF(W108="","",MAX(W108,X108))</x:f>
      </x:c>
      <x:c r="Z108" s="33"/>
      <x:c r="AA108" s="33" t="str">
        <x:f>IF(Y108="","",MAX(0,Y108-Z108))</x:f>
      </x:c>
      <x:c r="AB108" s="26"/>
      <x:c r="AC108" s="26"/>
      <x:c r="AD108" s="26"/>
      <x:c r="AE108" s="26"/>
      <x:c r="AF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  <x:c r="K109" s="26"/>
      <x:c r="L109" s="26"/>
      <x:c r="M109" s="26"/>
      <x:c r="N109" s="33"/>
      <x:c r="O109" s="33"/>
      <x:c r="P109" s="33"/>
      <x:c r="Q109" s="33"/>
      <x:c r="R109" s="33"/>
      <x:c r="S109" s="33"/>
      <x:c r="T109" s="33"/>
      <x:c r="U109" s="37" t="n">
        <x:f>'計價參數'!$B$7</x:f>
        <x:v>0.5</x:v>
      </x:c>
      <x:c r="V109" s="33" t="str">
        <x:f>IF(COUNTA(A109:T109)=0,"",K109*L109*'計價參數'!$B$5+M109*'計價參數'!$B$6+SUM(N109:T109))</x:f>
      </x:c>
      <x:c r="W109" s="33" t="str">
        <x:f>IF(V109="","",IF(U109&gt;=1,"",V109/(1-U109)))</x:f>
      </x:c>
      <x:c r="X109" s="33" t="str">
        <x:f>IF(G109="","",IFERROR(INDEX('加價服務矩陣'!$I$6:$I$29,MATCH(G109,'加價服務矩陣'!$A$6:$A$29,0)),0))</x:f>
      </x:c>
      <x:c r="Y109" s="33" t="str">
        <x:f>IF(W109="","",MAX(W109,X109))</x:f>
      </x:c>
      <x:c r="Z109" s="33"/>
      <x:c r="AA109" s="33" t="str">
        <x:f>IF(Y109="","",MAX(0,Y109-Z109))</x:f>
      </x:c>
      <x:c r="AB109" s="26"/>
      <x:c r="AC109" s="26"/>
      <x:c r="AD109" s="26"/>
      <x:c r="AE109" s="26"/>
      <x:c r="AF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  <x:c r="K110" s="26"/>
      <x:c r="L110" s="26"/>
      <x:c r="M110" s="26"/>
      <x:c r="N110" s="33"/>
      <x:c r="O110" s="33"/>
      <x:c r="P110" s="33"/>
      <x:c r="Q110" s="33"/>
      <x:c r="R110" s="33"/>
      <x:c r="S110" s="33"/>
      <x:c r="T110" s="33"/>
      <x:c r="U110" s="37" t="n">
        <x:f>'計價參數'!$B$7</x:f>
        <x:v>0.5</x:v>
      </x:c>
      <x:c r="V110" s="33" t="str">
        <x:f>IF(COUNTA(A110:T110)=0,"",K110*L110*'計價參數'!$B$5+M110*'計價參數'!$B$6+SUM(N110:T110))</x:f>
      </x:c>
      <x:c r="W110" s="33" t="str">
        <x:f>IF(V110="","",IF(U110&gt;=1,"",V110/(1-U110)))</x:f>
      </x:c>
      <x:c r="X110" s="33" t="str">
        <x:f>IF(G110="","",IFERROR(INDEX('加價服務矩陣'!$I$6:$I$29,MATCH(G110,'加價服務矩陣'!$A$6:$A$29,0)),0))</x:f>
      </x:c>
      <x:c r="Y110" s="33" t="str">
        <x:f>IF(W110="","",MAX(W110,X110))</x:f>
      </x:c>
      <x:c r="Z110" s="33"/>
      <x:c r="AA110" s="33" t="str">
        <x:f>IF(Y110="","",MAX(0,Y110-Z110))</x:f>
      </x:c>
      <x:c r="AB110" s="26"/>
      <x:c r="AC110" s="26"/>
      <x:c r="AD110" s="26"/>
      <x:c r="AE110" s="26"/>
      <x:c r="AF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  <x:c r="K111" s="26"/>
      <x:c r="L111" s="26"/>
      <x:c r="M111" s="26"/>
      <x:c r="N111" s="33"/>
      <x:c r="O111" s="33"/>
      <x:c r="P111" s="33"/>
      <x:c r="Q111" s="33"/>
      <x:c r="R111" s="33"/>
      <x:c r="S111" s="33"/>
      <x:c r="T111" s="33"/>
      <x:c r="U111" s="37" t="n">
        <x:f>'計價參數'!$B$7</x:f>
        <x:v>0.5</x:v>
      </x:c>
      <x:c r="V111" s="33" t="str">
        <x:f>IF(COUNTA(A111:T111)=0,"",K111*L111*'計價參數'!$B$5+M111*'計價參數'!$B$6+SUM(N111:T111))</x:f>
      </x:c>
      <x:c r="W111" s="33" t="str">
        <x:f>IF(V111="","",IF(U111&gt;=1,"",V111/(1-U111)))</x:f>
      </x:c>
      <x:c r="X111" s="33" t="str">
        <x:f>IF(G111="","",IFERROR(INDEX('加價服務矩陣'!$I$6:$I$29,MATCH(G111,'加價服務矩陣'!$A$6:$A$29,0)),0))</x:f>
      </x:c>
      <x:c r="Y111" s="33" t="str">
        <x:f>IF(W111="","",MAX(W111,X111))</x:f>
      </x:c>
      <x:c r="Z111" s="33"/>
      <x:c r="AA111" s="33" t="str">
        <x:f>IF(Y111="","",MAX(0,Y111-Z111))</x:f>
      </x:c>
      <x:c r="AB111" s="26"/>
      <x:c r="AC111" s="26"/>
      <x:c r="AD111" s="26"/>
      <x:c r="AE111" s="26"/>
      <x:c r="AF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  <x:c r="K112" s="26"/>
      <x:c r="L112" s="26"/>
      <x:c r="M112" s="26"/>
      <x:c r="N112" s="33"/>
      <x:c r="O112" s="33"/>
      <x:c r="P112" s="33"/>
      <x:c r="Q112" s="33"/>
      <x:c r="R112" s="33"/>
      <x:c r="S112" s="33"/>
      <x:c r="T112" s="33"/>
      <x:c r="U112" s="37" t="n">
        <x:f>'計價參數'!$B$7</x:f>
        <x:v>0.5</x:v>
      </x:c>
      <x:c r="V112" s="33" t="str">
        <x:f>IF(COUNTA(A112:T112)=0,"",K112*L112*'計價參數'!$B$5+M112*'計價參數'!$B$6+SUM(N112:T112))</x:f>
      </x:c>
      <x:c r="W112" s="33" t="str">
        <x:f>IF(V112="","",IF(U112&gt;=1,"",V112/(1-U112)))</x:f>
      </x:c>
      <x:c r="X112" s="33" t="str">
        <x:f>IF(G112="","",IFERROR(INDEX('加價服務矩陣'!$I$6:$I$29,MATCH(G112,'加價服務矩陣'!$A$6:$A$29,0)),0))</x:f>
      </x:c>
      <x:c r="Y112" s="33" t="str">
        <x:f>IF(W112="","",MAX(W112,X112))</x:f>
      </x:c>
      <x:c r="Z112" s="33"/>
      <x:c r="AA112" s="33" t="str">
        <x:f>IF(Y112="","",MAX(0,Y112-Z112))</x:f>
      </x:c>
      <x:c r="AB112" s="26"/>
      <x:c r="AC112" s="26"/>
      <x:c r="AD112" s="26"/>
      <x:c r="AE112" s="26"/>
      <x:c r="AF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  <x:c r="K113" s="26"/>
      <x:c r="L113" s="26"/>
      <x:c r="M113" s="26"/>
      <x:c r="N113" s="33"/>
      <x:c r="O113" s="33"/>
      <x:c r="P113" s="33"/>
      <x:c r="Q113" s="33"/>
      <x:c r="R113" s="33"/>
      <x:c r="S113" s="33"/>
      <x:c r="T113" s="33"/>
      <x:c r="U113" s="37" t="n">
        <x:f>'計價參數'!$B$7</x:f>
        <x:v>0.5</x:v>
      </x:c>
      <x:c r="V113" s="33" t="str">
        <x:f>IF(COUNTA(A113:T113)=0,"",K113*L113*'計價參數'!$B$5+M113*'計價參數'!$B$6+SUM(N113:T113))</x:f>
      </x:c>
      <x:c r="W113" s="33" t="str">
        <x:f>IF(V113="","",IF(U113&gt;=1,"",V113/(1-U113)))</x:f>
      </x:c>
      <x:c r="X113" s="33" t="str">
        <x:f>IF(G113="","",IFERROR(INDEX('加價服務矩陣'!$I$6:$I$29,MATCH(G113,'加價服務矩陣'!$A$6:$A$29,0)),0))</x:f>
      </x:c>
      <x:c r="Y113" s="33" t="str">
        <x:f>IF(W113="","",MAX(W113,X113))</x:f>
      </x:c>
      <x:c r="Z113" s="33"/>
      <x:c r="AA113" s="33" t="str">
        <x:f>IF(Y113="","",MAX(0,Y113-Z113))</x:f>
      </x:c>
      <x:c r="AB113" s="26"/>
      <x:c r="AC113" s="26"/>
      <x:c r="AD113" s="26"/>
      <x:c r="AE113" s="26"/>
      <x:c r="AF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  <x:c r="K114" s="26"/>
      <x:c r="L114" s="26"/>
      <x:c r="M114" s="26"/>
      <x:c r="N114" s="33"/>
      <x:c r="O114" s="33"/>
      <x:c r="P114" s="33"/>
      <x:c r="Q114" s="33"/>
      <x:c r="R114" s="33"/>
      <x:c r="S114" s="33"/>
      <x:c r="T114" s="33"/>
      <x:c r="U114" s="37" t="n">
        <x:f>'計價參數'!$B$7</x:f>
        <x:v>0.5</x:v>
      </x:c>
      <x:c r="V114" s="33" t="str">
        <x:f>IF(COUNTA(A114:T114)=0,"",K114*L114*'計價參數'!$B$5+M114*'計價參數'!$B$6+SUM(N114:T114))</x:f>
      </x:c>
      <x:c r="W114" s="33" t="str">
        <x:f>IF(V114="","",IF(U114&gt;=1,"",V114/(1-U114)))</x:f>
      </x:c>
      <x:c r="X114" s="33" t="str">
        <x:f>IF(G114="","",IFERROR(INDEX('加價服務矩陣'!$I$6:$I$29,MATCH(G114,'加價服務矩陣'!$A$6:$A$29,0)),0))</x:f>
      </x:c>
      <x:c r="Y114" s="33" t="str">
        <x:f>IF(W114="","",MAX(W114,X114))</x:f>
      </x:c>
      <x:c r="Z114" s="33"/>
      <x:c r="AA114" s="33" t="str">
        <x:f>IF(Y114="","",MAX(0,Y114-Z114))</x:f>
      </x:c>
      <x:c r="AB114" s="26"/>
      <x:c r="AC114" s="26"/>
      <x:c r="AD114" s="26"/>
      <x:c r="AE114" s="26"/>
      <x:c r="AF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  <x:c r="K115" s="26"/>
      <x:c r="L115" s="26"/>
      <x:c r="M115" s="26"/>
      <x:c r="N115" s="33"/>
      <x:c r="O115" s="33"/>
      <x:c r="P115" s="33"/>
      <x:c r="Q115" s="33"/>
      <x:c r="R115" s="33"/>
      <x:c r="S115" s="33"/>
      <x:c r="T115" s="33"/>
      <x:c r="U115" s="37" t="n">
        <x:f>'計價參數'!$B$7</x:f>
        <x:v>0.5</x:v>
      </x:c>
      <x:c r="V115" s="33" t="str">
        <x:f>IF(COUNTA(A115:T115)=0,"",K115*L115*'計價參數'!$B$5+M115*'計價參數'!$B$6+SUM(N115:T115))</x:f>
      </x:c>
      <x:c r="W115" s="33" t="str">
        <x:f>IF(V115="","",IF(U115&gt;=1,"",V115/(1-U115)))</x:f>
      </x:c>
      <x:c r="X115" s="33" t="str">
        <x:f>IF(G115="","",IFERROR(INDEX('加價服務矩陣'!$I$6:$I$29,MATCH(G115,'加價服務矩陣'!$A$6:$A$29,0)),0))</x:f>
      </x:c>
      <x:c r="Y115" s="33" t="str">
        <x:f>IF(W115="","",MAX(W115,X115))</x:f>
      </x:c>
      <x:c r="Z115" s="33"/>
      <x:c r="AA115" s="33" t="str">
        <x:f>IF(Y115="","",MAX(0,Y115-Z115))</x:f>
      </x:c>
      <x:c r="AB115" s="26"/>
      <x:c r="AC115" s="26"/>
      <x:c r="AD115" s="26"/>
      <x:c r="AE115" s="26"/>
      <x:c r="AF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33"/>
      <x:c r="O116" s="33"/>
      <x:c r="P116" s="33"/>
      <x:c r="Q116" s="33"/>
      <x:c r="R116" s="33"/>
      <x:c r="S116" s="33"/>
      <x:c r="T116" s="33"/>
      <x:c r="U116" s="37" t="n">
        <x:f>'計價參數'!$B$7</x:f>
        <x:v>0.5</x:v>
      </x:c>
      <x:c r="V116" s="33" t="str">
        <x:f>IF(COUNTA(A116:T116)=0,"",K116*L116*'計價參數'!$B$5+M116*'計價參數'!$B$6+SUM(N116:T116))</x:f>
      </x:c>
      <x:c r="W116" s="33" t="str">
        <x:f>IF(V116="","",IF(U116&gt;=1,"",V116/(1-U116)))</x:f>
      </x:c>
      <x:c r="X116" s="33" t="str">
        <x:f>IF(G116="","",IFERROR(INDEX('加價服務矩陣'!$I$6:$I$29,MATCH(G116,'加價服務矩陣'!$A$6:$A$29,0)),0))</x:f>
      </x:c>
      <x:c r="Y116" s="33" t="str">
        <x:f>IF(W116="","",MAX(W116,X116))</x:f>
      </x:c>
      <x:c r="Z116" s="33"/>
      <x:c r="AA116" s="33" t="str">
        <x:f>IF(Y116="","",MAX(0,Y116-Z116))</x:f>
      </x:c>
      <x:c r="AB116" s="26"/>
      <x:c r="AC116" s="26"/>
      <x:c r="AD116" s="26"/>
      <x:c r="AE116" s="26"/>
      <x:c r="AF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33"/>
      <x:c r="O117" s="33"/>
      <x:c r="P117" s="33"/>
      <x:c r="Q117" s="33"/>
      <x:c r="R117" s="33"/>
      <x:c r="S117" s="33"/>
      <x:c r="T117" s="33"/>
      <x:c r="U117" s="37" t="n">
        <x:f>'計價參數'!$B$7</x:f>
        <x:v>0.5</x:v>
      </x:c>
      <x:c r="V117" s="33" t="str">
        <x:f>IF(COUNTA(A117:T117)=0,"",K117*L117*'計價參數'!$B$5+M117*'計價參數'!$B$6+SUM(N117:T117))</x:f>
      </x:c>
      <x:c r="W117" s="33" t="str">
        <x:f>IF(V117="","",IF(U117&gt;=1,"",V117/(1-U117)))</x:f>
      </x:c>
      <x:c r="X117" s="33" t="str">
        <x:f>IF(G117="","",IFERROR(INDEX('加價服務矩陣'!$I$6:$I$29,MATCH(G117,'加價服務矩陣'!$A$6:$A$29,0)),0))</x:f>
      </x:c>
      <x:c r="Y117" s="33" t="str">
        <x:f>IF(W117="","",MAX(W117,X117))</x:f>
      </x:c>
      <x:c r="Z117" s="33"/>
      <x:c r="AA117" s="33" t="str">
        <x:f>IF(Y117="","",MAX(0,Y117-Z117))</x:f>
      </x:c>
      <x:c r="AB117" s="26"/>
      <x:c r="AC117" s="26"/>
      <x:c r="AD117" s="26"/>
      <x:c r="AE117" s="26"/>
      <x:c r="AF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  <x:c r="K118" s="26"/>
      <x:c r="L118" s="26"/>
      <x:c r="M118" s="26"/>
      <x:c r="N118" s="33"/>
      <x:c r="O118" s="33"/>
      <x:c r="P118" s="33"/>
      <x:c r="Q118" s="33"/>
      <x:c r="R118" s="33"/>
      <x:c r="S118" s="33"/>
      <x:c r="T118" s="33"/>
      <x:c r="U118" s="37" t="n">
        <x:f>'計價參數'!$B$7</x:f>
        <x:v>0.5</x:v>
      </x:c>
      <x:c r="V118" s="33" t="str">
        <x:f>IF(COUNTA(A118:T118)=0,"",K118*L118*'計價參數'!$B$5+M118*'計價參數'!$B$6+SUM(N118:T118))</x:f>
      </x:c>
      <x:c r="W118" s="33" t="str">
        <x:f>IF(V118="","",IF(U118&gt;=1,"",V118/(1-U118)))</x:f>
      </x:c>
      <x:c r="X118" s="33" t="str">
        <x:f>IF(G118="","",IFERROR(INDEX('加價服務矩陣'!$I$6:$I$29,MATCH(G118,'加價服務矩陣'!$A$6:$A$29,0)),0))</x:f>
      </x:c>
      <x:c r="Y118" s="33" t="str">
        <x:f>IF(W118="","",MAX(W118,X118))</x:f>
      </x:c>
      <x:c r="Z118" s="33"/>
      <x:c r="AA118" s="33" t="str">
        <x:f>IF(Y118="","",MAX(0,Y118-Z118))</x:f>
      </x:c>
      <x:c r="AB118" s="26"/>
      <x:c r="AC118" s="26"/>
      <x:c r="AD118" s="26"/>
      <x:c r="AE118" s="26"/>
      <x:c r="AF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  <x:c r="K119" s="26"/>
      <x:c r="L119" s="26"/>
      <x:c r="M119" s="26"/>
      <x:c r="N119" s="33"/>
      <x:c r="O119" s="33"/>
      <x:c r="P119" s="33"/>
      <x:c r="Q119" s="33"/>
      <x:c r="R119" s="33"/>
      <x:c r="S119" s="33"/>
      <x:c r="T119" s="33"/>
      <x:c r="U119" s="37" t="n">
        <x:f>'計價參數'!$B$7</x:f>
        <x:v>0.5</x:v>
      </x:c>
      <x:c r="V119" s="33" t="str">
        <x:f>IF(COUNTA(A119:T119)=0,"",K119*L119*'計價參數'!$B$5+M119*'計價參數'!$B$6+SUM(N119:T119))</x:f>
      </x:c>
      <x:c r="W119" s="33" t="str">
        <x:f>IF(V119="","",IF(U119&gt;=1,"",V119/(1-U119)))</x:f>
      </x:c>
      <x:c r="X119" s="33" t="str">
        <x:f>IF(G119="","",IFERROR(INDEX('加價服務矩陣'!$I$6:$I$29,MATCH(G119,'加價服務矩陣'!$A$6:$A$29,0)),0))</x:f>
      </x:c>
      <x:c r="Y119" s="33" t="str">
        <x:f>IF(W119="","",MAX(W119,X119))</x:f>
      </x:c>
      <x:c r="Z119" s="33"/>
      <x:c r="AA119" s="33" t="str">
        <x:f>IF(Y119="","",MAX(0,Y119-Z119))</x:f>
      </x:c>
      <x:c r="AB119" s="26"/>
      <x:c r="AC119" s="26"/>
      <x:c r="AD119" s="26"/>
      <x:c r="AE119" s="26"/>
      <x:c r="AF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  <x:c r="K120" s="26"/>
      <x:c r="L120" s="26"/>
      <x:c r="M120" s="26"/>
      <x:c r="N120" s="33"/>
      <x:c r="O120" s="33"/>
      <x:c r="P120" s="33"/>
      <x:c r="Q120" s="33"/>
      <x:c r="R120" s="33"/>
      <x:c r="S120" s="33"/>
      <x:c r="T120" s="33"/>
      <x:c r="U120" s="37" t="n">
        <x:f>'計價參數'!$B$7</x:f>
        <x:v>0.5</x:v>
      </x:c>
      <x:c r="V120" s="33" t="str">
        <x:f>IF(COUNTA(A120:T120)=0,"",K120*L120*'計價參數'!$B$5+M120*'計價參數'!$B$6+SUM(N120:T120))</x:f>
      </x:c>
      <x:c r="W120" s="33" t="str">
        <x:f>IF(V120="","",IF(U120&gt;=1,"",V120/(1-U120)))</x:f>
      </x:c>
      <x:c r="X120" s="33" t="str">
        <x:f>IF(G120="","",IFERROR(INDEX('加價服務矩陣'!$I$6:$I$29,MATCH(G120,'加價服務矩陣'!$A$6:$A$29,0)),0))</x:f>
      </x:c>
      <x:c r="Y120" s="33" t="str">
        <x:f>IF(W120="","",MAX(W120,X120))</x:f>
      </x:c>
      <x:c r="Z120" s="33"/>
      <x:c r="AA120" s="33" t="str">
        <x:f>IF(Y120="","",MAX(0,Y120-Z120))</x:f>
      </x:c>
      <x:c r="AB120" s="26"/>
      <x:c r="AC120" s="26"/>
      <x:c r="AD120" s="26"/>
      <x:c r="AE120" s="26"/>
      <x:c r="AF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  <x:c r="K121" s="26"/>
      <x:c r="L121" s="26"/>
      <x:c r="M121" s="26"/>
      <x:c r="N121" s="33"/>
      <x:c r="O121" s="33"/>
      <x:c r="P121" s="33"/>
      <x:c r="Q121" s="33"/>
      <x:c r="R121" s="33"/>
      <x:c r="S121" s="33"/>
      <x:c r="T121" s="33"/>
      <x:c r="U121" s="37" t="n">
        <x:f>'計價參數'!$B$7</x:f>
        <x:v>0.5</x:v>
      </x:c>
      <x:c r="V121" s="33" t="str">
        <x:f>IF(COUNTA(A121:T121)=0,"",K121*L121*'計價參數'!$B$5+M121*'計價參數'!$B$6+SUM(N121:T121))</x:f>
      </x:c>
      <x:c r="W121" s="33" t="str">
        <x:f>IF(V121="","",IF(U121&gt;=1,"",V121/(1-U121)))</x:f>
      </x:c>
      <x:c r="X121" s="33" t="str">
        <x:f>IF(G121="","",IFERROR(INDEX('加價服務矩陣'!$I$6:$I$29,MATCH(G121,'加價服務矩陣'!$A$6:$A$29,0)),0))</x:f>
      </x:c>
      <x:c r="Y121" s="33" t="str">
        <x:f>IF(W121="","",MAX(W121,X121))</x:f>
      </x:c>
      <x:c r="Z121" s="33"/>
      <x:c r="AA121" s="33" t="str">
        <x:f>IF(Y121="","",MAX(0,Y121-Z121))</x:f>
      </x:c>
      <x:c r="AB121" s="26"/>
      <x:c r="AC121" s="26"/>
      <x:c r="AD121" s="26"/>
      <x:c r="AE121" s="26"/>
      <x:c r="AF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  <x:c r="K122" s="26"/>
      <x:c r="L122" s="26"/>
      <x:c r="M122" s="26"/>
      <x:c r="N122" s="33"/>
      <x:c r="O122" s="33"/>
      <x:c r="P122" s="33"/>
      <x:c r="Q122" s="33"/>
      <x:c r="R122" s="33"/>
      <x:c r="S122" s="33"/>
      <x:c r="T122" s="33"/>
      <x:c r="U122" s="37" t="n">
        <x:f>'計價參數'!$B$7</x:f>
        <x:v>0.5</x:v>
      </x:c>
      <x:c r="V122" s="33" t="str">
        <x:f>IF(COUNTA(A122:T122)=0,"",K122*L122*'計價參數'!$B$5+M122*'計價參數'!$B$6+SUM(N122:T122))</x:f>
      </x:c>
      <x:c r="W122" s="33" t="str">
        <x:f>IF(V122="","",IF(U122&gt;=1,"",V122/(1-U122)))</x:f>
      </x:c>
      <x:c r="X122" s="33" t="str">
        <x:f>IF(G122="","",IFERROR(INDEX('加價服務矩陣'!$I$6:$I$29,MATCH(G122,'加價服務矩陣'!$A$6:$A$29,0)),0))</x:f>
      </x:c>
      <x:c r="Y122" s="33" t="str">
        <x:f>IF(W122="","",MAX(W122,X122))</x:f>
      </x:c>
      <x:c r="Z122" s="33"/>
      <x:c r="AA122" s="33" t="str">
        <x:f>IF(Y122="","",MAX(0,Y122-Z122))</x:f>
      </x:c>
      <x:c r="AB122" s="26"/>
      <x:c r="AC122" s="26"/>
      <x:c r="AD122" s="26"/>
      <x:c r="AE122" s="26"/>
      <x:c r="AF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  <x:c r="K123" s="26"/>
      <x:c r="L123" s="26"/>
      <x:c r="M123" s="26"/>
      <x:c r="N123" s="33"/>
      <x:c r="O123" s="33"/>
      <x:c r="P123" s="33"/>
      <x:c r="Q123" s="33"/>
      <x:c r="R123" s="33"/>
      <x:c r="S123" s="33"/>
      <x:c r="T123" s="33"/>
      <x:c r="U123" s="37" t="n">
        <x:f>'計價參數'!$B$7</x:f>
        <x:v>0.5</x:v>
      </x:c>
      <x:c r="V123" s="33" t="str">
        <x:f>IF(COUNTA(A123:T123)=0,"",K123*L123*'計價參數'!$B$5+M123*'計價參數'!$B$6+SUM(N123:T123))</x:f>
      </x:c>
      <x:c r="W123" s="33" t="str">
        <x:f>IF(V123="","",IF(U123&gt;=1,"",V123/(1-U123)))</x:f>
      </x:c>
      <x:c r="X123" s="33" t="str">
        <x:f>IF(G123="","",IFERROR(INDEX('加價服務矩陣'!$I$6:$I$29,MATCH(G123,'加價服務矩陣'!$A$6:$A$29,0)),0))</x:f>
      </x:c>
      <x:c r="Y123" s="33" t="str">
        <x:f>IF(W123="","",MAX(W123,X123))</x:f>
      </x:c>
      <x:c r="Z123" s="33"/>
      <x:c r="AA123" s="33" t="str">
        <x:f>IF(Y123="","",MAX(0,Y123-Z123))</x:f>
      </x:c>
      <x:c r="AB123" s="26"/>
      <x:c r="AC123" s="26"/>
      <x:c r="AD123" s="26"/>
      <x:c r="AE123" s="26"/>
      <x:c r="AF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  <x:c r="K124" s="26"/>
      <x:c r="L124" s="26"/>
      <x:c r="M124" s="26"/>
      <x:c r="N124" s="33"/>
      <x:c r="O124" s="33"/>
      <x:c r="P124" s="33"/>
      <x:c r="Q124" s="33"/>
      <x:c r="R124" s="33"/>
      <x:c r="S124" s="33"/>
      <x:c r="T124" s="33"/>
      <x:c r="U124" s="37" t="n">
        <x:f>'計價參數'!$B$7</x:f>
        <x:v>0.5</x:v>
      </x:c>
      <x:c r="V124" s="33" t="str">
        <x:f>IF(COUNTA(A124:T124)=0,"",K124*L124*'計價參數'!$B$5+M124*'計價參數'!$B$6+SUM(N124:T124))</x:f>
      </x:c>
      <x:c r="W124" s="33" t="str">
        <x:f>IF(V124="","",IF(U124&gt;=1,"",V124/(1-U124)))</x:f>
      </x:c>
      <x:c r="X124" s="33" t="str">
        <x:f>IF(G124="","",IFERROR(INDEX('加價服務矩陣'!$I$6:$I$29,MATCH(G124,'加價服務矩陣'!$A$6:$A$29,0)),0))</x:f>
      </x:c>
      <x:c r="Y124" s="33" t="str">
        <x:f>IF(W124="","",MAX(W124,X124))</x:f>
      </x:c>
      <x:c r="Z124" s="33"/>
      <x:c r="AA124" s="33" t="str">
        <x:f>IF(Y124="","",MAX(0,Y124-Z124))</x:f>
      </x:c>
      <x:c r="AB124" s="26"/>
      <x:c r="AC124" s="26"/>
      <x:c r="AD124" s="26"/>
      <x:c r="AE124" s="26"/>
      <x:c r="AF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  <x:c r="K125" s="26"/>
      <x:c r="L125" s="26"/>
      <x:c r="M125" s="26"/>
      <x:c r="N125" s="33"/>
      <x:c r="O125" s="33"/>
      <x:c r="P125" s="33"/>
      <x:c r="Q125" s="33"/>
      <x:c r="R125" s="33"/>
      <x:c r="S125" s="33"/>
      <x:c r="T125" s="33"/>
      <x:c r="U125" s="37" t="n">
        <x:f>'計價參數'!$B$7</x:f>
        <x:v>0.5</x:v>
      </x:c>
      <x:c r="V125" s="33" t="str">
        <x:f>IF(COUNTA(A125:T125)=0,"",K125*L125*'計價參數'!$B$5+M125*'計價參數'!$B$6+SUM(N125:T125))</x:f>
      </x:c>
      <x:c r="W125" s="33" t="str">
        <x:f>IF(V125="","",IF(U125&gt;=1,"",V125/(1-U125)))</x:f>
      </x:c>
      <x:c r="X125" s="33" t="str">
        <x:f>IF(G125="","",IFERROR(INDEX('加價服務矩陣'!$I$6:$I$29,MATCH(G125,'加價服務矩陣'!$A$6:$A$29,0)),0))</x:f>
      </x:c>
      <x:c r="Y125" s="33" t="str">
        <x:f>IF(W125="","",MAX(W125,X125))</x:f>
      </x:c>
      <x:c r="Z125" s="33"/>
      <x:c r="AA125" s="33" t="str">
        <x:f>IF(Y125="","",MAX(0,Y125-Z125))</x:f>
      </x:c>
      <x:c r="AB125" s="26"/>
      <x:c r="AC125" s="26"/>
      <x:c r="AD125" s="26"/>
      <x:c r="AE125" s="26"/>
      <x:c r="AF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  <x:c r="K126" s="26"/>
      <x:c r="L126" s="26"/>
      <x:c r="M126" s="26"/>
      <x:c r="N126" s="33"/>
      <x:c r="O126" s="33"/>
      <x:c r="P126" s="33"/>
      <x:c r="Q126" s="33"/>
      <x:c r="R126" s="33"/>
      <x:c r="S126" s="33"/>
      <x:c r="T126" s="33"/>
      <x:c r="U126" s="37" t="n">
        <x:f>'計價參數'!$B$7</x:f>
        <x:v>0.5</x:v>
      </x:c>
      <x:c r="V126" s="33" t="str">
        <x:f>IF(COUNTA(A126:T126)=0,"",K126*L126*'計價參數'!$B$5+M126*'計價參數'!$B$6+SUM(N126:T126))</x:f>
      </x:c>
      <x:c r="W126" s="33" t="str">
        <x:f>IF(V126="","",IF(U126&gt;=1,"",V126/(1-U126)))</x:f>
      </x:c>
      <x:c r="X126" s="33" t="str">
        <x:f>IF(G126="","",IFERROR(INDEX('加價服務矩陣'!$I$6:$I$29,MATCH(G126,'加價服務矩陣'!$A$6:$A$29,0)),0))</x:f>
      </x:c>
      <x:c r="Y126" s="33" t="str">
        <x:f>IF(W126="","",MAX(W126,X126))</x:f>
      </x:c>
      <x:c r="Z126" s="33"/>
      <x:c r="AA126" s="33" t="str">
        <x:f>IF(Y126="","",MAX(0,Y126-Z126))</x:f>
      </x:c>
      <x:c r="AB126" s="26"/>
      <x:c r="AC126" s="26"/>
      <x:c r="AD126" s="26"/>
      <x:c r="AE126" s="26"/>
      <x:c r="AF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  <x:c r="K127" s="26"/>
      <x:c r="L127" s="26"/>
      <x:c r="M127" s="26"/>
      <x:c r="N127" s="33"/>
      <x:c r="O127" s="33"/>
      <x:c r="P127" s="33"/>
      <x:c r="Q127" s="33"/>
      <x:c r="R127" s="33"/>
      <x:c r="S127" s="33"/>
      <x:c r="T127" s="33"/>
      <x:c r="U127" s="37" t="n">
        <x:f>'計價參數'!$B$7</x:f>
        <x:v>0.5</x:v>
      </x:c>
      <x:c r="V127" s="33" t="str">
        <x:f>IF(COUNTA(A127:T127)=0,"",K127*L127*'計價參數'!$B$5+M127*'計價參數'!$B$6+SUM(N127:T127))</x:f>
      </x:c>
      <x:c r="W127" s="33" t="str">
        <x:f>IF(V127="","",IF(U127&gt;=1,"",V127/(1-U127)))</x:f>
      </x:c>
      <x:c r="X127" s="33" t="str">
        <x:f>IF(G127="","",IFERROR(INDEX('加價服務矩陣'!$I$6:$I$29,MATCH(G127,'加價服務矩陣'!$A$6:$A$29,0)),0))</x:f>
      </x:c>
      <x:c r="Y127" s="33" t="str">
        <x:f>IF(W127="","",MAX(W127,X127))</x:f>
      </x:c>
      <x:c r="Z127" s="33"/>
      <x:c r="AA127" s="33" t="str">
        <x:f>IF(Y127="","",MAX(0,Y127-Z127))</x:f>
      </x:c>
      <x:c r="AB127" s="26"/>
      <x:c r="AC127" s="26"/>
      <x:c r="AD127" s="26"/>
      <x:c r="AE127" s="26"/>
      <x:c r="AF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33"/>
      <x:c r="O128" s="33"/>
      <x:c r="P128" s="33"/>
      <x:c r="Q128" s="33"/>
      <x:c r="R128" s="33"/>
      <x:c r="S128" s="33"/>
      <x:c r="T128" s="33"/>
      <x:c r="U128" s="37" t="n">
        <x:f>'計價參數'!$B$7</x:f>
        <x:v>0.5</x:v>
      </x:c>
      <x:c r="V128" s="33" t="str">
        <x:f>IF(COUNTA(A128:T128)=0,"",K128*L128*'計價參數'!$B$5+M128*'計價參數'!$B$6+SUM(N128:T128))</x:f>
      </x:c>
      <x:c r="W128" s="33" t="str">
        <x:f>IF(V128="","",IF(U128&gt;=1,"",V128/(1-U128)))</x:f>
      </x:c>
      <x:c r="X128" s="33" t="str">
        <x:f>IF(G128="","",IFERROR(INDEX('加價服務矩陣'!$I$6:$I$29,MATCH(G128,'加價服務矩陣'!$A$6:$A$29,0)),0))</x:f>
      </x:c>
      <x:c r="Y128" s="33" t="str">
        <x:f>IF(W128="","",MAX(W128,X128))</x:f>
      </x:c>
      <x:c r="Z128" s="33"/>
      <x:c r="AA128" s="33" t="str">
        <x:f>IF(Y128="","",MAX(0,Y128-Z128))</x:f>
      </x:c>
      <x:c r="AB128" s="26"/>
      <x:c r="AC128" s="26"/>
      <x:c r="AD128" s="26"/>
      <x:c r="AE128" s="26"/>
      <x:c r="AF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33"/>
      <x:c r="O129" s="33"/>
      <x:c r="P129" s="33"/>
      <x:c r="Q129" s="33"/>
      <x:c r="R129" s="33"/>
      <x:c r="S129" s="33"/>
      <x:c r="T129" s="33"/>
      <x:c r="U129" s="37" t="n">
        <x:f>'計價參數'!$B$7</x:f>
        <x:v>0.5</x:v>
      </x:c>
      <x:c r="V129" s="33" t="str">
        <x:f>IF(COUNTA(A129:T129)=0,"",K129*L129*'計價參數'!$B$5+M129*'計價參數'!$B$6+SUM(N129:T129))</x:f>
      </x:c>
      <x:c r="W129" s="33" t="str">
        <x:f>IF(V129="","",IF(U129&gt;=1,"",V129/(1-U129)))</x:f>
      </x:c>
      <x:c r="X129" s="33" t="str">
        <x:f>IF(G129="","",IFERROR(INDEX('加價服務矩陣'!$I$6:$I$29,MATCH(G129,'加價服務矩陣'!$A$6:$A$29,0)),0))</x:f>
      </x:c>
      <x:c r="Y129" s="33" t="str">
        <x:f>IF(W129="","",MAX(W129,X129))</x:f>
      </x:c>
      <x:c r="Z129" s="33"/>
      <x:c r="AA129" s="33" t="str">
        <x:f>IF(Y129="","",MAX(0,Y129-Z129))</x:f>
      </x:c>
      <x:c r="AB129" s="26"/>
      <x:c r="AC129" s="26"/>
      <x:c r="AD129" s="26"/>
      <x:c r="AE129" s="26"/>
      <x:c r="AF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  <x:c r="K130" s="26"/>
      <x:c r="L130" s="26"/>
      <x:c r="M130" s="26"/>
      <x:c r="N130" s="33"/>
      <x:c r="O130" s="33"/>
      <x:c r="P130" s="33"/>
      <x:c r="Q130" s="33"/>
      <x:c r="R130" s="33"/>
      <x:c r="S130" s="33"/>
      <x:c r="T130" s="33"/>
      <x:c r="U130" s="37" t="n">
        <x:f>'計價參數'!$B$7</x:f>
        <x:v>0.5</x:v>
      </x:c>
      <x:c r="V130" s="33" t="str">
        <x:f>IF(COUNTA(A130:T130)=0,"",K130*L130*'計價參數'!$B$5+M130*'計價參數'!$B$6+SUM(N130:T130))</x:f>
      </x:c>
      <x:c r="W130" s="33" t="str">
        <x:f>IF(V130="","",IF(U130&gt;=1,"",V130/(1-U130)))</x:f>
      </x:c>
      <x:c r="X130" s="33" t="str">
        <x:f>IF(G130="","",IFERROR(INDEX('加價服務矩陣'!$I$6:$I$29,MATCH(G130,'加價服務矩陣'!$A$6:$A$29,0)),0))</x:f>
      </x:c>
      <x:c r="Y130" s="33" t="str">
        <x:f>IF(W130="","",MAX(W130,X130))</x:f>
      </x:c>
      <x:c r="Z130" s="33"/>
      <x:c r="AA130" s="33" t="str">
        <x:f>IF(Y130="","",MAX(0,Y130-Z130))</x:f>
      </x:c>
      <x:c r="AB130" s="26"/>
      <x:c r="AC130" s="26"/>
      <x:c r="AD130" s="26"/>
      <x:c r="AE130" s="26"/>
      <x:c r="AF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  <x:c r="K131" s="26"/>
      <x:c r="L131" s="26"/>
      <x:c r="M131" s="26"/>
      <x:c r="N131" s="33"/>
      <x:c r="O131" s="33"/>
      <x:c r="P131" s="33"/>
      <x:c r="Q131" s="33"/>
      <x:c r="R131" s="33"/>
      <x:c r="S131" s="33"/>
      <x:c r="T131" s="33"/>
      <x:c r="U131" s="37" t="n">
        <x:f>'計價參數'!$B$7</x:f>
        <x:v>0.5</x:v>
      </x:c>
      <x:c r="V131" s="33" t="str">
        <x:f>IF(COUNTA(A131:T131)=0,"",K131*L131*'計價參數'!$B$5+M131*'計價參數'!$B$6+SUM(N131:T131))</x:f>
      </x:c>
      <x:c r="W131" s="33" t="str">
        <x:f>IF(V131="","",IF(U131&gt;=1,"",V131/(1-U131)))</x:f>
      </x:c>
      <x:c r="X131" s="33" t="str">
        <x:f>IF(G131="","",IFERROR(INDEX('加價服務矩陣'!$I$6:$I$29,MATCH(G131,'加價服務矩陣'!$A$6:$A$29,0)),0))</x:f>
      </x:c>
      <x:c r="Y131" s="33" t="str">
        <x:f>IF(W131="","",MAX(W131,X131))</x:f>
      </x:c>
      <x:c r="Z131" s="33"/>
      <x:c r="AA131" s="33" t="str">
        <x:f>IF(Y131="","",MAX(0,Y131-Z131))</x:f>
      </x:c>
      <x:c r="AB131" s="26"/>
      <x:c r="AC131" s="26"/>
      <x:c r="AD131" s="26"/>
      <x:c r="AE131" s="26"/>
      <x:c r="AF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  <x:c r="K132" s="26"/>
      <x:c r="L132" s="26"/>
      <x:c r="M132" s="26"/>
      <x:c r="N132" s="33"/>
      <x:c r="O132" s="33"/>
      <x:c r="P132" s="33"/>
      <x:c r="Q132" s="33"/>
      <x:c r="R132" s="33"/>
      <x:c r="S132" s="33"/>
      <x:c r="T132" s="33"/>
      <x:c r="U132" s="37" t="n">
        <x:f>'計價參數'!$B$7</x:f>
        <x:v>0.5</x:v>
      </x:c>
      <x:c r="V132" s="33" t="str">
        <x:f>IF(COUNTA(A132:T132)=0,"",K132*L132*'計價參數'!$B$5+M132*'計價參數'!$B$6+SUM(N132:T132))</x:f>
      </x:c>
      <x:c r="W132" s="33" t="str">
        <x:f>IF(V132="","",IF(U132&gt;=1,"",V132/(1-U132)))</x:f>
      </x:c>
      <x:c r="X132" s="33" t="str">
        <x:f>IF(G132="","",IFERROR(INDEX('加價服務矩陣'!$I$6:$I$29,MATCH(G132,'加價服務矩陣'!$A$6:$A$29,0)),0))</x:f>
      </x:c>
      <x:c r="Y132" s="33" t="str">
        <x:f>IF(W132="","",MAX(W132,X132))</x:f>
      </x:c>
      <x:c r="Z132" s="33"/>
      <x:c r="AA132" s="33" t="str">
        <x:f>IF(Y132="","",MAX(0,Y132-Z132))</x:f>
      </x:c>
      <x:c r="AB132" s="26"/>
      <x:c r="AC132" s="26"/>
      <x:c r="AD132" s="26"/>
      <x:c r="AE132" s="26"/>
      <x:c r="AF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  <x:c r="K133" s="26"/>
      <x:c r="L133" s="26"/>
      <x:c r="M133" s="26"/>
      <x:c r="N133" s="33"/>
      <x:c r="O133" s="33"/>
      <x:c r="P133" s="33"/>
      <x:c r="Q133" s="33"/>
      <x:c r="R133" s="33"/>
      <x:c r="S133" s="33"/>
      <x:c r="T133" s="33"/>
      <x:c r="U133" s="37" t="n">
        <x:f>'計價參數'!$B$7</x:f>
        <x:v>0.5</x:v>
      </x:c>
      <x:c r="V133" s="33" t="str">
        <x:f>IF(COUNTA(A133:T133)=0,"",K133*L133*'計價參數'!$B$5+M133*'計價參數'!$B$6+SUM(N133:T133))</x:f>
      </x:c>
      <x:c r="W133" s="33" t="str">
        <x:f>IF(V133="","",IF(U133&gt;=1,"",V133/(1-U133)))</x:f>
      </x:c>
      <x:c r="X133" s="33" t="str">
        <x:f>IF(G133="","",IFERROR(INDEX('加價服務矩陣'!$I$6:$I$29,MATCH(G133,'加價服務矩陣'!$A$6:$A$29,0)),0))</x:f>
      </x:c>
      <x:c r="Y133" s="33" t="str">
        <x:f>IF(W133="","",MAX(W133,X133))</x:f>
      </x:c>
      <x:c r="Z133" s="33"/>
      <x:c r="AA133" s="33" t="str">
        <x:f>IF(Y133="","",MAX(0,Y133-Z133))</x:f>
      </x:c>
      <x:c r="AB133" s="26"/>
      <x:c r="AC133" s="26"/>
      <x:c r="AD133" s="26"/>
      <x:c r="AE133" s="26"/>
      <x:c r="AF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  <x:c r="K134" s="26"/>
      <x:c r="L134" s="26"/>
      <x:c r="M134" s="26"/>
      <x:c r="N134" s="33"/>
      <x:c r="O134" s="33"/>
      <x:c r="P134" s="33"/>
      <x:c r="Q134" s="33"/>
      <x:c r="R134" s="33"/>
      <x:c r="S134" s="33"/>
      <x:c r="T134" s="33"/>
      <x:c r="U134" s="37" t="n">
        <x:f>'計價參數'!$B$7</x:f>
        <x:v>0.5</x:v>
      </x:c>
      <x:c r="V134" s="33" t="str">
        <x:f>IF(COUNTA(A134:T134)=0,"",K134*L134*'計價參數'!$B$5+M134*'計價參數'!$B$6+SUM(N134:T134))</x:f>
      </x:c>
      <x:c r="W134" s="33" t="str">
        <x:f>IF(V134="","",IF(U134&gt;=1,"",V134/(1-U134)))</x:f>
      </x:c>
      <x:c r="X134" s="33" t="str">
        <x:f>IF(G134="","",IFERROR(INDEX('加價服務矩陣'!$I$6:$I$29,MATCH(G134,'加價服務矩陣'!$A$6:$A$29,0)),0))</x:f>
      </x:c>
      <x:c r="Y134" s="33" t="str">
        <x:f>IF(W134="","",MAX(W134,X134))</x:f>
      </x:c>
      <x:c r="Z134" s="33"/>
      <x:c r="AA134" s="33" t="str">
        <x:f>IF(Y134="","",MAX(0,Y134-Z134))</x:f>
      </x:c>
      <x:c r="AB134" s="26"/>
      <x:c r="AC134" s="26"/>
      <x:c r="AD134" s="26"/>
      <x:c r="AE134" s="26"/>
      <x:c r="AF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  <x:c r="K135" s="26"/>
      <x:c r="L135" s="26"/>
      <x:c r="M135" s="26"/>
      <x:c r="N135" s="33"/>
      <x:c r="O135" s="33"/>
      <x:c r="P135" s="33"/>
      <x:c r="Q135" s="33"/>
      <x:c r="R135" s="33"/>
      <x:c r="S135" s="33"/>
      <x:c r="T135" s="33"/>
      <x:c r="U135" s="37" t="n">
        <x:f>'計價參數'!$B$7</x:f>
        <x:v>0.5</x:v>
      </x:c>
      <x:c r="V135" s="33" t="str">
        <x:f>IF(COUNTA(A135:T135)=0,"",K135*L135*'計價參數'!$B$5+M135*'計價參數'!$B$6+SUM(N135:T135))</x:f>
      </x:c>
      <x:c r="W135" s="33" t="str">
        <x:f>IF(V135="","",IF(U135&gt;=1,"",V135/(1-U135)))</x:f>
      </x:c>
      <x:c r="X135" s="33" t="str">
        <x:f>IF(G135="","",IFERROR(INDEX('加價服務矩陣'!$I$6:$I$29,MATCH(G135,'加價服務矩陣'!$A$6:$A$29,0)),0))</x:f>
      </x:c>
      <x:c r="Y135" s="33" t="str">
        <x:f>IF(W135="","",MAX(W135,X135))</x:f>
      </x:c>
      <x:c r="Z135" s="33"/>
      <x:c r="AA135" s="33" t="str">
        <x:f>IF(Y135="","",MAX(0,Y135-Z135))</x:f>
      </x:c>
      <x:c r="AB135" s="26"/>
      <x:c r="AC135" s="26"/>
      <x:c r="AD135" s="26"/>
      <x:c r="AE135" s="26"/>
      <x:c r="AF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  <x:c r="K136" s="26"/>
      <x:c r="L136" s="26"/>
      <x:c r="M136" s="26"/>
      <x:c r="N136" s="33"/>
      <x:c r="O136" s="33"/>
      <x:c r="P136" s="33"/>
      <x:c r="Q136" s="33"/>
      <x:c r="R136" s="33"/>
      <x:c r="S136" s="33"/>
      <x:c r="T136" s="33"/>
      <x:c r="U136" s="37" t="n">
        <x:f>'計價參數'!$B$7</x:f>
        <x:v>0.5</x:v>
      </x:c>
      <x:c r="V136" s="33" t="str">
        <x:f>IF(COUNTA(A136:T136)=0,"",K136*L136*'計價參數'!$B$5+M136*'計價參數'!$B$6+SUM(N136:T136))</x:f>
      </x:c>
      <x:c r="W136" s="33" t="str">
        <x:f>IF(V136="","",IF(U136&gt;=1,"",V136/(1-U136)))</x:f>
      </x:c>
      <x:c r="X136" s="33" t="str">
        <x:f>IF(G136="","",IFERROR(INDEX('加價服務矩陣'!$I$6:$I$29,MATCH(G136,'加價服務矩陣'!$A$6:$A$29,0)),0))</x:f>
      </x:c>
      <x:c r="Y136" s="33" t="str">
        <x:f>IF(W136="","",MAX(W136,X136))</x:f>
      </x:c>
      <x:c r="Z136" s="33"/>
      <x:c r="AA136" s="33" t="str">
        <x:f>IF(Y136="","",MAX(0,Y136-Z136))</x:f>
      </x:c>
      <x:c r="AB136" s="26"/>
      <x:c r="AC136" s="26"/>
      <x:c r="AD136" s="26"/>
      <x:c r="AE136" s="26"/>
      <x:c r="AF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  <x:c r="K137" s="26"/>
      <x:c r="L137" s="26"/>
      <x:c r="M137" s="26"/>
      <x:c r="N137" s="33"/>
      <x:c r="O137" s="33"/>
      <x:c r="P137" s="33"/>
      <x:c r="Q137" s="33"/>
      <x:c r="R137" s="33"/>
      <x:c r="S137" s="33"/>
      <x:c r="T137" s="33"/>
      <x:c r="U137" s="37" t="n">
        <x:f>'計價參數'!$B$7</x:f>
        <x:v>0.5</x:v>
      </x:c>
      <x:c r="V137" s="33" t="str">
        <x:f>IF(COUNTA(A137:T137)=0,"",K137*L137*'計價參數'!$B$5+M137*'計價參數'!$B$6+SUM(N137:T137))</x:f>
      </x:c>
      <x:c r="W137" s="33" t="str">
        <x:f>IF(V137="","",IF(U137&gt;=1,"",V137/(1-U137)))</x:f>
      </x:c>
      <x:c r="X137" s="33" t="str">
        <x:f>IF(G137="","",IFERROR(INDEX('加價服務矩陣'!$I$6:$I$29,MATCH(G137,'加價服務矩陣'!$A$6:$A$29,0)),0))</x:f>
      </x:c>
      <x:c r="Y137" s="33" t="str">
        <x:f>IF(W137="","",MAX(W137,X137))</x:f>
      </x:c>
      <x:c r="Z137" s="33"/>
      <x:c r="AA137" s="33" t="str">
        <x:f>IF(Y137="","",MAX(0,Y137-Z137))</x:f>
      </x:c>
      <x:c r="AB137" s="26"/>
      <x:c r="AC137" s="26"/>
      <x:c r="AD137" s="26"/>
      <x:c r="AE137" s="26"/>
      <x:c r="AF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  <x:c r="K138" s="26"/>
      <x:c r="L138" s="26"/>
      <x:c r="M138" s="26"/>
      <x:c r="N138" s="33"/>
      <x:c r="O138" s="33"/>
      <x:c r="P138" s="33"/>
      <x:c r="Q138" s="33"/>
      <x:c r="R138" s="33"/>
      <x:c r="S138" s="33"/>
      <x:c r="T138" s="33"/>
      <x:c r="U138" s="37" t="n">
        <x:f>'計價參數'!$B$7</x:f>
        <x:v>0.5</x:v>
      </x:c>
      <x:c r="V138" s="33" t="str">
        <x:f>IF(COUNTA(A138:T138)=0,"",K138*L138*'計價參數'!$B$5+M138*'計價參數'!$B$6+SUM(N138:T138))</x:f>
      </x:c>
      <x:c r="W138" s="33" t="str">
        <x:f>IF(V138="","",IF(U138&gt;=1,"",V138/(1-U138)))</x:f>
      </x:c>
      <x:c r="X138" s="33" t="str">
        <x:f>IF(G138="","",IFERROR(INDEX('加價服務矩陣'!$I$6:$I$29,MATCH(G138,'加價服務矩陣'!$A$6:$A$29,0)),0))</x:f>
      </x:c>
      <x:c r="Y138" s="33" t="str">
        <x:f>IF(W138="","",MAX(W138,X138))</x:f>
      </x:c>
      <x:c r="Z138" s="33"/>
      <x:c r="AA138" s="33" t="str">
        <x:f>IF(Y138="","",MAX(0,Y138-Z138))</x:f>
      </x:c>
      <x:c r="AB138" s="26"/>
      <x:c r="AC138" s="26"/>
      <x:c r="AD138" s="26"/>
      <x:c r="AE138" s="26"/>
      <x:c r="AF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  <x:c r="K139" s="26"/>
      <x:c r="L139" s="26"/>
      <x:c r="M139" s="26"/>
      <x:c r="N139" s="33"/>
      <x:c r="O139" s="33"/>
      <x:c r="P139" s="33"/>
      <x:c r="Q139" s="33"/>
      <x:c r="R139" s="33"/>
      <x:c r="S139" s="33"/>
      <x:c r="T139" s="33"/>
      <x:c r="U139" s="37" t="n">
        <x:f>'計價參數'!$B$7</x:f>
        <x:v>0.5</x:v>
      </x:c>
      <x:c r="V139" s="33" t="str">
        <x:f>IF(COUNTA(A139:T139)=0,"",K139*L139*'計價參數'!$B$5+M139*'計價參數'!$B$6+SUM(N139:T139))</x:f>
      </x:c>
      <x:c r="W139" s="33" t="str">
        <x:f>IF(V139="","",IF(U139&gt;=1,"",V139/(1-U139)))</x:f>
      </x:c>
      <x:c r="X139" s="33" t="str">
        <x:f>IF(G139="","",IFERROR(INDEX('加價服務矩陣'!$I$6:$I$29,MATCH(G139,'加價服務矩陣'!$A$6:$A$29,0)),0))</x:f>
      </x:c>
      <x:c r="Y139" s="33" t="str">
        <x:f>IF(W139="","",MAX(W139,X139))</x:f>
      </x:c>
      <x:c r="Z139" s="33"/>
      <x:c r="AA139" s="33" t="str">
        <x:f>IF(Y139="","",MAX(0,Y139-Z139))</x:f>
      </x:c>
      <x:c r="AB139" s="26"/>
      <x:c r="AC139" s="26"/>
      <x:c r="AD139" s="26"/>
      <x:c r="AE139" s="26"/>
      <x:c r="AF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33"/>
      <x:c r="O140" s="33"/>
      <x:c r="P140" s="33"/>
      <x:c r="Q140" s="33"/>
      <x:c r="R140" s="33"/>
      <x:c r="S140" s="33"/>
      <x:c r="T140" s="33"/>
      <x:c r="U140" s="37" t="n">
        <x:f>'計價參數'!$B$7</x:f>
        <x:v>0.5</x:v>
      </x:c>
      <x:c r="V140" s="33" t="str">
        <x:f>IF(COUNTA(A140:T140)=0,"",K140*L140*'計價參數'!$B$5+M140*'計價參數'!$B$6+SUM(N140:T140))</x:f>
      </x:c>
      <x:c r="W140" s="33" t="str">
        <x:f>IF(V140="","",IF(U140&gt;=1,"",V140/(1-U140)))</x:f>
      </x:c>
      <x:c r="X140" s="33" t="str">
        <x:f>IF(G140="","",IFERROR(INDEX('加價服務矩陣'!$I$6:$I$29,MATCH(G140,'加價服務矩陣'!$A$6:$A$29,0)),0))</x:f>
      </x:c>
      <x:c r="Y140" s="33" t="str">
        <x:f>IF(W140="","",MAX(W140,X140))</x:f>
      </x:c>
      <x:c r="Z140" s="33"/>
      <x:c r="AA140" s="33" t="str">
        <x:f>IF(Y140="","",MAX(0,Y140-Z140))</x:f>
      </x:c>
      <x:c r="AB140" s="26"/>
      <x:c r="AC140" s="26"/>
      <x:c r="AD140" s="26"/>
      <x:c r="AE140" s="26"/>
      <x:c r="AF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33"/>
      <x:c r="O141" s="33"/>
      <x:c r="P141" s="33"/>
      <x:c r="Q141" s="33"/>
      <x:c r="R141" s="33"/>
      <x:c r="S141" s="33"/>
      <x:c r="T141" s="33"/>
      <x:c r="U141" s="37" t="n">
        <x:f>'計價參數'!$B$7</x:f>
        <x:v>0.5</x:v>
      </x:c>
      <x:c r="V141" s="33" t="str">
        <x:f>IF(COUNTA(A141:T141)=0,"",K141*L141*'計價參數'!$B$5+M141*'計價參數'!$B$6+SUM(N141:T141))</x:f>
      </x:c>
      <x:c r="W141" s="33" t="str">
        <x:f>IF(V141="","",IF(U141&gt;=1,"",V141/(1-U141)))</x:f>
      </x:c>
      <x:c r="X141" s="33" t="str">
        <x:f>IF(G141="","",IFERROR(INDEX('加價服務矩陣'!$I$6:$I$29,MATCH(G141,'加價服務矩陣'!$A$6:$A$29,0)),0))</x:f>
      </x:c>
      <x:c r="Y141" s="33" t="str">
        <x:f>IF(W141="","",MAX(W141,X141))</x:f>
      </x:c>
      <x:c r="Z141" s="33"/>
      <x:c r="AA141" s="33" t="str">
        <x:f>IF(Y141="","",MAX(0,Y141-Z141))</x:f>
      </x:c>
      <x:c r="AB141" s="26"/>
      <x:c r="AC141" s="26"/>
      <x:c r="AD141" s="26"/>
      <x:c r="AE141" s="26"/>
      <x:c r="AF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  <x:c r="K142" s="26"/>
      <x:c r="L142" s="26"/>
      <x:c r="M142" s="26"/>
      <x:c r="N142" s="33"/>
      <x:c r="O142" s="33"/>
      <x:c r="P142" s="33"/>
      <x:c r="Q142" s="33"/>
      <x:c r="R142" s="33"/>
      <x:c r="S142" s="33"/>
      <x:c r="T142" s="33"/>
      <x:c r="U142" s="37" t="n">
        <x:f>'計價參數'!$B$7</x:f>
        <x:v>0.5</x:v>
      </x:c>
      <x:c r="V142" s="33" t="str">
        <x:f>IF(COUNTA(A142:T142)=0,"",K142*L142*'計價參數'!$B$5+M142*'計價參數'!$B$6+SUM(N142:T142))</x:f>
      </x:c>
      <x:c r="W142" s="33" t="str">
        <x:f>IF(V142="","",IF(U142&gt;=1,"",V142/(1-U142)))</x:f>
      </x:c>
      <x:c r="X142" s="33" t="str">
        <x:f>IF(G142="","",IFERROR(INDEX('加價服務矩陣'!$I$6:$I$29,MATCH(G142,'加價服務矩陣'!$A$6:$A$29,0)),0))</x:f>
      </x:c>
      <x:c r="Y142" s="33" t="str">
        <x:f>IF(W142="","",MAX(W142,X142))</x:f>
      </x:c>
      <x:c r="Z142" s="33"/>
      <x:c r="AA142" s="33" t="str">
        <x:f>IF(Y142="","",MAX(0,Y142-Z142))</x:f>
      </x:c>
      <x:c r="AB142" s="26"/>
      <x:c r="AC142" s="26"/>
      <x:c r="AD142" s="26"/>
      <x:c r="AE142" s="26"/>
      <x:c r="AF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  <x:c r="K143" s="26"/>
      <x:c r="L143" s="26"/>
      <x:c r="M143" s="26"/>
      <x:c r="N143" s="33"/>
      <x:c r="O143" s="33"/>
      <x:c r="P143" s="33"/>
      <x:c r="Q143" s="33"/>
      <x:c r="R143" s="33"/>
      <x:c r="S143" s="33"/>
      <x:c r="T143" s="33"/>
      <x:c r="U143" s="37" t="n">
        <x:f>'計價參數'!$B$7</x:f>
        <x:v>0.5</x:v>
      </x:c>
      <x:c r="V143" s="33" t="str">
        <x:f>IF(COUNTA(A143:T143)=0,"",K143*L143*'計價參數'!$B$5+M143*'計價參數'!$B$6+SUM(N143:T143))</x:f>
      </x:c>
      <x:c r="W143" s="33" t="str">
        <x:f>IF(V143="","",IF(U143&gt;=1,"",V143/(1-U143)))</x:f>
      </x:c>
      <x:c r="X143" s="33" t="str">
        <x:f>IF(G143="","",IFERROR(INDEX('加價服務矩陣'!$I$6:$I$29,MATCH(G143,'加價服務矩陣'!$A$6:$A$29,0)),0))</x:f>
      </x:c>
      <x:c r="Y143" s="33" t="str">
        <x:f>IF(W143="","",MAX(W143,X143))</x:f>
      </x:c>
      <x:c r="Z143" s="33"/>
      <x:c r="AA143" s="33" t="str">
        <x:f>IF(Y143="","",MAX(0,Y143-Z143))</x:f>
      </x:c>
      <x:c r="AB143" s="26"/>
      <x:c r="AC143" s="26"/>
      <x:c r="AD143" s="26"/>
      <x:c r="AE143" s="26"/>
      <x:c r="AF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  <x:c r="K144" s="26"/>
      <x:c r="L144" s="26"/>
      <x:c r="M144" s="26"/>
      <x:c r="N144" s="33"/>
      <x:c r="O144" s="33"/>
      <x:c r="P144" s="33"/>
      <x:c r="Q144" s="33"/>
      <x:c r="R144" s="33"/>
      <x:c r="S144" s="33"/>
      <x:c r="T144" s="33"/>
      <x:c r="U144" s="37" t="n">
        <x:f>'計價參數'!$B$7</x:f>
        <x:v>0.5</x:v>
      </x:c>
      <x:c r="V144" s="33" t="str">
        <x:f>IF(COUNTA(A144:T144)=0,"",K144*L144*'計價參數'!$B$5+M144*'計價參數'!$B$6+SUM(N144:T144))</x:f>
      </x:c>
      <x:c r="W144" s="33" t="str">
        <x:f>IF(V144="","",IF(U144&gt;=1,"",V144/(1-U144)))</x:f>
      </x:c>
      <x:c r="X144" s="33" t="str">
        <x:f>IF(G144="","",IFERROR(INDEX('加價服務矩陣'!$I$6:$I$29,MATCH(G144,'加價服務矩陣'!$A$6:$A$29,0)),0))</x:f>
      </x:c>
      <x:c r="Y144" s="33" t="str">
        <x:f>IF(W144="","",MAX(W144,X144))</x:f>
      </x:c>
      <x:c r="Z144" s="33"/>
      <x:c r="AA144" s="33" t="str">
        <x:f>IF(Y144="","",MAX(0,Y144-Z144))</x:f>
      </x:c>
      <x:c r="AB144" s="26"/>
      <x:c r="AC144" s="26"/>
      <x:c r="AD144" s="26"/>
      <x:c r="AE144" s="26"/>
      <x:c r="AF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  <x:c r="K145" s="26"/>
      <x:c r="L145" s="26"/>
      <x:c r="M145" s="26"/>
      <x:c r="N145" s="33"/>
      <x:c r="O145" s="33"/>
      <x:c r="P145" s="33"/>
      <x:c r="Q145" s="33"/>
      <x:c r="R145" s="33"/>
      <x:c r="S145" s="33"/>
      <x:c r="T145" s="33"/>
      <x:c r="U145" s="37" t="n">
        <x:f>'計價參數'!$B$7</x:f>
        <x:v>0.5</x:v>
      </x:c>
      <x:c r="V145" s="33" t="str">
        <x:f>IF(COUNTA(A145:T145)=0,"",K145*L145*'計價參數'!$B$5+M145*'計價參數'!$B$6+SUM(N145:T145))</x:f>
      </x:c>
      <x:c r="W145" s="33" t="str">
        <x:f>IF(V145="","",IF(U145&gt;=1,"",V145/(1-U145)))</x:f>
      </x:c>
      <x:c r="X145" s="33" t="str">
        <x:f>IF(G145="","",IFERROR(INDEX('加價服務矩陣'!$I$6:$I$29,MATCH(G145,'加價服務矩陣'!$A$6:$A$29,0)),0))</x:f>
      </x:c>
      <x:c r="Y145" s="33" t="str">
        <x:f>IF(W145="","",MAX(W145,X145))</x:f>
      </x:c>
      <x:c r="Z145" s="33"/>
      <x:c r="AA145" s="33" t="str">
        <x:f>IF(Y145="","",MAX(0,Y145-Z145))</x:f>
      </x:c>
      <x:c r="AB145" s="26"/>
      <x:c r="AC145" s="26"/>
      <x:c r="AD145" s="26"/>
      <x:c r="AE145" s="26"/>
      <x:c r="AF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  <x:c r="K146" s="26"/>
      <x:c r="L146" s="26"/>
      <x:c r="M146" s="26"/>
      <x:c r="N146" s="33"/>
      <x:c r="O146" s="33"/>
      <x:c r="P146" s="33"/>
      <x:c r="Q146" s="33"/>
      <x:c r="R146" s="33"/>
      <x:c r="S146" s="33"/>
      <x:c r="T146" s="33"/>
      <x:c r="U146" s="37" t="n">
        <x:f>'計價參數'!$B$7</x:f>
        <x:v>0.5</x:v>
      </x:c>
      <x:c r="V146" s="33" t="str">
        <x:f>IF(COUNTA(A146:T146)=0,"",K146*L146*'計價參數'!$B$5+M146*'計價參數'!$B$6+SUM(N146:T146))</x:f>
      </x:c>
      <x:c r="W146" s="33" t="str">
        <x:f>IF(V146="","",IF(U146&gt;=1,"",V146/(1-U146)))</x:f>
      </x:c>
      <x:c r="X146" s="33" t="str">
        <x:f>IF(G146="","",IFERROR(INDEX('加價服務矩陣'!$I$6:$I$29,MATCH(G146,'加價服務矩陣'!$A$6:$A$29,0)),0))</x:f>
      </x:c>
      <x:c r="Y146" s="33" t="str">
        <x:f>IF(W146="","",MAX(W146,X146))</x:f>
      </x:c>
      <x:c r="Z146" s="33"/>
      <x:c r="AA146" s="33" t="str">
        <x:f>IF(Y146="","",MAX(0,Y146-Z146))</x:f>
      </x:c>
      <x:c r="AB146" s="26"/>
      <x:c r="AC146" s="26"/>
      <x:c r="AD146" s="26"/>
      <x:c r="AE146" s="26"/>
      <x:c r="AF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  <x:c r="K147" s="26"/>
      <x:c r="L147" s="26"/>
      <x:c r="M147" s="26"/>
      <x:c r="N147" s="33"/>
      <x:c r="O147" s="33"/>
      <x:c r="P147" s="33"/>
      <x:c r="Q147" s="33"/>
      <x:c r="R147" s="33"/>
      <x:c r="S147" s="33"/>
      <x:c r="T147" s="33"/>
      <x:c r="U147" s="37" t="n">
        <x:f>'計價參數'!$B$7</x:f>
        <x:v>0.5</x:v>
      </x:c>
      <x:c r="V147" s="33" t="str">
        <x:f>IF(COUNTA(A147:T147)=0,"",K147*L147*'計價參數'!$B$5+M147*'計價參數'!$B$6+SUM(N147:T147))</x:f>
      </x:c>
      <x:c r="W147" s="33" t="str">
        <x:f>IF(V147="","",IF(U147&gt;=1,"",V147/(1-U147)))</x:f>
      </x:c>
      <x:c r="X147" s="33" t="str">
        <x:f>IF(G147="","",IFERROR(INDEX('加價服務矩陣'!$I$6:$I$29,MATCH(G147,'加價服務矩陣'!$A$6:$A$29,0)),0))</x:f>
      </x:c>
      <x:c r="Y147" s="33" t="str">
        <x:f>IF(W147="","",MAX(W147,X147))</x:f>
      </x:c>
      <x:c r="Z147" s="33"/>
      <x:c r="AA147" s="33" t="str">
        <x:f>IF(Y147="","",MAX(0,Y147-Z147))</x:f>
      </x:c>
      <x:c r="AB147" s="26"/>
      <x:c r="AC147" s="26"/>
      <x:c r="AD147" s="26"/>
      <x:c r="AE147" s="26"/>
      <x:c r="AF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  <x:c r="K148" s="26"/>
      <x:c r="L148" s="26"/>
      <x:c r="M148" s="26"/>
      <x:c r="N148" s="33"/>
      <x:c r="O148" s="33"/>
      <x:c r="P148" s="33"/>
      <x:c r="Q148" s="33"/>
      <x:c r="R148" s="33"/>
      <x:c r="S148" s="33"/>
      <x:c r="T148" s="33"/>
      <x:c r="U148" s="37" t="n">
        <x:f>'計價參數'!$B$7</x:f>
        <x:v>0.5</x:v>
      </x:c>
      <x:c r="V148" s="33" t="str">
        <x:f>IF(COUNTA(A148:T148)=0,"",K148*L148*'計價參數'!$B$5+M148*'計價參數'!$B$6+SUM(N148:T148))</x:f>
      </x:c>
      <x:c r="W148" s="33" t="str">
        <x:f>IF(V148="","",IF(U148&gt;=1,"",V148/(1-U148)))</x:f>
      </x:c>
      <x:c r="X148" s="33" t="str">
        <x:f>IF(G148="","",IFERROR(INDEX('加價服務矩陣'!$I$6:$I$29,MATCH(G148,'加價服務矩陣'!$A$6:$A$29,0)),0))</x:f>
      </x:c>
      <x:c r="Y148" s="33" t="str">
        <x:f>IF(W148="","",MAX(W148,X148))</x:f>
      </x:c>
      <x:c r="Z148" s="33"/>
      <x:c r="AA148" s="33" t="str">
        <x:f>IF(Y148="","",MAX(0,Y148-Z148))</x:f>
      </x:c>
      <x:c r="AB148" s="26"/>
      <x:c r="AC148" s="26"/>
      <x:c r="AD148" s="26"/>
      <x:c r="AE148" s="26"/>
      <x:c r="AF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  <x:c r="K149" s="26"/>
      <x:c r="L149" s="26"/>
      <x:c r="M149" s="26"/>
      <x:c r="N149" s="33"/>
      <x:c r="O149" s="33"/>
      <x:c r="P149" s="33"/>
      <x:c r="Q149" s="33"/>
      <x:c r="R149" s="33"/>
      <x:c r="S149" s="33"/>
      <x:c r="T149" s="33"/>
      <x:c r="U149" s="37" t="n">
        <x:f>'計價參數'!$B$7</x:f>
        <x:v>0.5</x:v>
      </x:c>
      <x:c r="V149" s="33" t="str">
        <x:f>IF(COUNTA(A149:T149)=0,"",K149*L149*'計價參數'!$B$5+M149*'計價參數'!$B$6+SUM(N149:T149))</x:f>
      </x:c>
      <x:c r="W149" s="33" t="str">
        <x:f>IF(V149="","",IF(U149&gt;=1,"",V149/(1-U149)))</x:f>
      </x:c>
      <x:c r="X149" s="33" t="str">
        <x:f>IF(G149="","",IFERROR(INDEX('加價服務矩陣'!$I$6:$I$29,MATCH(G149,'加價服務矩陣'!$A$6:$A$29,0)),0))</x:f>
      </x:c>
      <x:c r="Y149" s="33" t="str">
        <x:f>IF(W149="","",MAX(W149,X149))</x:f>
      </x:c>
      <x:c r="Z149" s="33"/>
      <x:c r="AA149" s="33" t="str">
        <x:f>IF(Y149="","",MAX(0,Y149-Z149))</x:f>
      </x:c>
      <x:c r="AB149" s="26"/>
      <x:c r="AC149" s="26"/>
      <x:c r="AD149" s="26"/>
      <x:c r="AE149" s="26"/>
      <x:c r="AF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  <x:c r="K150" s="26"/>
      <x:c r="L150" s="26"/>
      <x:c r="M150" s="26"/>
      <x:c r="N150" s="33"/>
      <x:c r="O150" s="33"/>
      <x:c r="P150" s="33"/>
      <x:c r="Q150" s="33"/>
      <x:c r="R150" s="33"/>
      <x:c r="S150" s="33"/>
      <x:c r="T150" s="33"/>
      <x:c r="U150" s="37" t="n">
        <x:f>'計價參數'!$B$7</x:f>
        <x:v>0.5</x:v>
      </x:c>
      <x:c r="V150" s="33" t="str">
        <x:f>IF(COUNTA(A150:T150)=0,"",K150*L150*'計價參數'!$B$5+M150*'計價參數'!$B$6+SUM(N150:T150))</x:f>
      </x:c>
      <x:c r="W150" s="33" t="str">
        <x:f>IF(V150="","",IF(U150&gt;=1,"",V150/(1-U150)))</x:f>
      </x:c>
      <x:c r="X150" s="33" t="str">
        <x:f>IF(G150="","",IFERROR(INDEX('加價服務矩陣'!$I$6:$I$29,MATCH(G150,'加價服務矩陣'!$A$6:$A$29,0)),0))</x:f>
      </x:c>
      <x:c r="Y150" s="33" t="str">
        <x:f>IF(W150="","",MAX(W150,X150))</x:f>
      </x:c>
      <x:c r="Z150" s="33"/>
      <x:c r="AA150" s="33" t="str">
        <x:f>IF(Y150="","",MAX(0,Y150-Z150))</x:f>
      </x:c>
      <x:c r="AB150" s="26"/>
      <x:c r="AC150" s="26"/>
      <x:c r="AD150" s="26"/>
      <x:c r="AE150" s="26"/>
      <x:c r="AF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  <x:c r="K151" s="26"/>
      <x:c r="L151" s="26"/>
      <x:c r="M151" s="26"/>
      <x:c r="N151" s="33"/>
      <x:c r="O151" s="33"/>
      <x:c r="P151" s="33"/>
      <x:c r="Q151" s="33"/>
      <x:c r="R151" s="33"/>
      <x:c r="S151" s="33"/>
      <x:c r="T151" s="33"/>
      <x:c r="U151" s="37" t="n">
        <x:f>'計價參數'!$B$7</x:f>
        <x:v>0.5</x:v>
      </x:c>
      <x:c r="V151" s="33" t="str">
        <x:f>IF(COUNTA(A151:T151)=0,"",K151*L151*'計價參數'!$B$5+M151*'計價參數'!$B$6+SUM(N151:T151))</x:f>
      </x:c>
      <x:c r="W151" s="33" t="str">
        <x:f>IF(V151="","",IF(U151&gt;=1,"",V151/(1-U151)))</x:f>
      </x:c>
      <x:c r="X151" s="33" t="str">
        <x:f>IF(G151="","",IFERROR(INDEX('加價服務矩陣'!$I$6:$I$29,MATCH(G151,'加價服務矩陣'!$A$6:$A$29,0)),0))</x:f>
      </x:c>
      <x:c r="Y151" s="33" t="str">
        <x:f>IF(W151="","",MAX(W151,X151))</x:f>
      </x:c>
      <x:c r="Z151" s="33"/>
      <x:c r="AA151" s="33" t="str">
        <x:f>IF(Y151="","",MAX(0,Y151-Z151))</x:f>
      </x:c>
      <x:c r="AB151" s="26"/>
      <x:c r="AC151" s="26"/>
      <x:c r="AD151" s="26"/>
      <x:c r="AE151" s="26"/>
      <x:c r="AF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33"/>
      <x:c r="O152" s="33"/>
      <x:c r="P152" s="33"/>
      <x:c r="Q152" s="33"/>
      <x:c r="R152" s="33"/>
      <x:c r="S152" s="33"/>
      <x:c r="T152" s="33"/>
      <x:c r="U152" s="37" t="n">
        <x:f>'計價參數'!$B$7</x:f>
        <x:v>0.5</x:v>
      </x:c>
      <x:c r="V152" s="33" t="str">
        <x:f>IF(COUNTA(A152:T152)=0,"",K152*L152*'計價參數'!$B$5+M152*'計價參數'!$B$6+SUM(N152:T152))</x:f>
      </x:c>
      <x:c r="W152" s="33" t="str">
        <x:f>IF(V152="","",IF(U152&gt;=1,"",V152/(1-U152)))</x:f>
      </x:c>
      <x:c r="X152" s="33" t="str">
        <x:f>IF(G152="","",IFERROR(INDEX('加價服務矩陣'!$I$6:$I$29,MATCH(G152,'加價服務矩陣'!$A$6:$A$29,0)),0))</x:f>
      </x:c>
      <x:c r="Y152" s="33" t="str">
        <x:f>IF(W152="","",MAX(W152,X152))</x:f>
      </x:c>
      <x:c r="Z152" s="33"/>
      <x:c r="AA152" s="33" t="str">
        <x:f>IF(Y152="","",MAX(0,Y152-Z152))</x:f>
      </x:c>
      <x:c r="AB152" s="26"/>
      <x:c r="AC152" s="26"/>
      <x:c r="AD152" s="26"/>
      <x:c r="AE152" s="26"/>
      <x:c r="AF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33"/>
      <x:c r="O153" s="33"/>
      <x:c r="P153" s="33"/>
      <x:c r="Q153" s="33"/>
      <x:c r="R153" s="33"/>
      <x:c r="S153" s="33"/>
      <x:c r="T153" s="33"/>
      <x:c r="U153" s="37" t="n">
        <x:f>'計價參數'!$B$7</x:f>
        <x:v>0.5</x:v>
      </x:c>
      <x:c r="V153" s="33" t="str">
        <x:f>IF(COUNTA(A153:T153)=0,"",K153*L153*'計價參數'!$B$5+M153*'計價參數'!$B$6+SUM(N153:T153))</x:f>
      </x:c>
      <x:c r="W153" s="33" t="str">
        <x:f>IF(V153="","",IF(U153&gt;=1,"",V153/(1-U153)))</x:f>
      </x:c>
      <x:c r="X153" s="33" t="str">
        <x:f>IF(G153="","",IFERROR(INDEX('加價服務矩陣'!$I$6:$I$29,MATCH(G153,'加價服務矩陣'!$A$6:$A$29,0)),0))</x:f>
      </x:c>
      <x:c r="Y153" s="33" t="str">
        <x:f>IF(W153="","",MAX(W153,X153))</x:f>
      </x:c>
      <x:c r="Z153" s="33"/>
      <x:c r="AA153" s="33" t="str">
        <x:f>IF(Y153="","",MAX(0,Y153-Z153))</x:f>
      </x:c>
      <x:c r="AB153" s="26"/>
      <x:c r="AC153" s="26"/>
      <x:c r="AD153" s="26"/>
      <x:c r="AE153" s="26"/>
      <x:c r="AF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  <x:c r="K154" s="26"/>
      <x:c r="L154" s="26"/>
      <x:c r="M154" s="26"/>
      <x:c r="N154" s="33"/>
      <x:c r="O154" s="33"/>
      <x:c r="P154" s="33"/>
      <x:c r="Q154" s="33"/>
      <x:c r="R154" s="33"/>
      <x:c r="S154" s="33"/>
      <x:c r="T154" s="33"/>
      <x:c r="U154" s="37" t="n">
        <x:f>'計價參數'!$B$7</x:f>
        <x:v>0.5</x:v>
      </x:c>
      <x:c r="V154" s="33" t="str">
        <x:f>IF(COUNTA(A154:T154)=0,"",K154*L154*'計價參數'!$B$5+M154*'計價參數'!$B$6+SUM(N154:T154))</x:f>
      </x:c>
      <x:c r="W154" s="33" t="str">
        <x:f>IF(V154="","",IF(U154&gt;=1,"",V154/(1-U154)))</x:f>
      </x:c>
      <x:c r="X154" s="33" t="str">
        <x:f>IF(G154="","",IFERROR(INDEX('加價服務矩陣'!$I$6:$I$29,MATCH(G154,'加價服務矩陣'!$A$6:$A$29,0)),0))</x:f>
      </x:c>
      <x:c r="Y154" s="33" t="str">
        <x:f>IF(W154="","",MAX(W154,X154))</x:f>
      </x:c>
      <x:c r="Z154" s="33"/>
      <x:c r="AA154" s="33" t="str">
        <x:f>IF(Y154="","",MAX(0,Y154-Z154))</x:f>
      </x:c>
      <x:c r="AB154" s="26"/>
      <x:c r="AC154" s="26"/>
      <x:c r="AD154" s="26"/>
      <x:c r="AE154" s="26"/>
      <x:c r="AF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  <x:c r="K155" s="26"/>
      <x:c r="L155" s="26"/>
      <x:c r="M155" s="26"/>
      <x:c r="N155" s="33"/>
      <x:c r="O155" s="33"/>
      <x:c r="P155" s="33"/>
      <x:c r="Q155" s="33"/>
      <x:c r="R155" s="33"/>
      <x:c r="S155" s="33"/>
      <x:c r="T155" s="33"/>
      <x:c r="U155" s="37" t="n">
        <x:f>'計價參數'!$B$7</x:f>
        <x:v>0.5</x:v>
      </x:c>
      <x:c r="V155" s="33" t="str">
        <x:f>IF(COUNTA(A155:T155)=0,"",K155*L155*'計價參數'!$B$5+M155*'計價參數'!$B$6+SUM(N155:T155))</x:f>
      </x:c>
      <x:c r="W155" s="33" t="str">
        <x:f>IF(V155="","",IF(U155&gt;=1,"",V155/(1-U155)))</x:f>
      </x:c>
      <x:c r="X155" s="33" t="str">
        <x:f>IF(G155="","",IFERROR(INDEX('加價服務矩陣'!$I$6:$I$29,MATCH(G155,'加價服務矩陣'!$A$6:$A$29,0)),0))</x:f>
      </x:c>
      <x:c r="Y155" s="33" t="str">
        <x:f>IF(W155="","",MAX(W155,X155))</x:f>
      </x:c>
      <x:c r="Z155" s="33"/>
      <x:c r="AA155" s="33" t="str">
        <x:f>IF(Y155="","",MAX(0,Y155-Z155))</x:f>
      </x:c>
      <x:c r="AB155" s="26"/>
      <x:c r="AC155" s="26"/>
      <x:c r="AD155" s="26"/>
      <x:c r="AE155" s="26"/>
      <x:c r="AF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  <x:c r="K156" s="26"/>
      <x:c r="L156" s="26"/>
      <x:c r="M156" s="26"/>
      <x:c r="N156" s="33"/>
      <x:c r="O156" s="33"/>
      <x:c r="P156" s="33"/>
      <x:c r="Q156" s="33"/>
      <x:c r="R156" s="33"/>
      <x:c r="S156" s="33"/>
      <x:c r="T156" s="33"/>
      <x:c r="U156" s="37" t="n">
        <x:f>'計價參數'!$B$7</x:f>
        <x:v>0.5</x:v>
      </x:c>
      <x:c r="V156" s="33" t="str">
        <x:f>IF(COUNTA(A156:T156)=0,"",K156*L156*'計價參數'!$B$5+M156*'計價參數'!$B$6+SUM(N156:T156))</x:f>
      </x:c>
      <x:c r="W156" s="33" t="str">
        <x:f>IF(V156="","",IF(U156&gt;=1,"",V156/(1-U156)))</x:f>
      </x:c>
      <x:c r="X156" s="33" t="str">
        <x:f>IF(G156="","",IFERROR(INDEX('加價服務矩陣'!$I$6:$I$29,MATCH(G156,'加價服務矩陣'!$A$6:$A$29,0)),0))</x:f>
      </x:c>
      <x:c r="Y156" s="33" t="str">
        <x:f>IF(W156="","",MAX(W156,X156))</x:f>
      </x:c>
      <x:c r="Z156" s="33"/>
      <x:c r="AA156" s="33" t="str">
        <x:f>IF(Y156="","",MAX(0,Y156-Z156))</x:f>
      </x:c>
      <x:c r="AB156" s="26"/>
      <x:c r="AC156" s="26"/>
      <x:c r="AD156" s="26"/>
      <x:c r="AE156" s="26"/>
      <x:c r="AF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  <x:c r="K157" s="26"/>
      <x:c r="L157" s="26"/>
      <x:c r="M157" s="26"/>
      <x:c r="N157" s="33"/>
      <x:c r="O157" s="33"/>
      <x:c r="P157" s="33"/>
      <x:c r="Q157" s="33"/>
      <x:c r="R157" s="33"/>
      <x:c r="S157" s="33"/>
      <x:c r="T157" s="33"/>
      <x:c r="U157" s="37" t="n">
        <x:f>'計價參數'!$B$7</x:f>
        <x:v>0.5</x:v>
      </x:c>
      <x:c r="V157" s="33" t="str">
        <x:f>IF(COUNTA(A157:T157)=0,"",K157*L157*'計價參數'!$B$5+M157*'計價參數'!$B$6+SUM(N157:T157))</x:f>
      </x:c>
      <x:c r="W157" s="33" t="str">
        <x:f>IF(V157="","",IF(U157&gt;=1,"",V157/(1-U157)))</x:f>
      </x:c>
      <x:c r="X157" s="33" t="str">
        <x:f>IF(G157="","",IFERROR(INDEX('加價服務矩陣'!$I$6:$I$29,MATCH(G157,'加價服務矩陣'!$A$6:$A$29,0)),0))</x:f>
      </x:c>
      <x:c r="Y157" s="33" t="str">
        <x:f>IF(W157="","",MAX(W157,X157))</x:f>
      </x:c>
      <x:c r="Z157" s="33"/>
      <x:c r="AA157" s="33" t="str">
        <x:f>IF(Y157="","",MAX(0,Y157-Z157))</x:f>
      </x:c>
      <x:c r="AB157" s="26"/>
      <x:c r="AC157" s="26"/>
      <x:c r="AD157" s="26"/>
      <x:c r="AE157" s="26"/>
      <x:c r="AF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  <x:c r="K158" s="26"/>
      <x:c r="L158" s="26"/>
      <x:c r="M158" s="26"/>
      <x:c r="N158" s="33"/>
      <x:c r="O158" s="33"/>
      <x:c r="P158" s="33"/>
      <x:c r="Q158" s="33"/>
      <x:c r="R158" s="33"/>
      <x:c r="S158" s="33"/>
      <x:c r="T158" s="33"/>
      <x:c r="U158" s="37" t="n">
        <x:f>'計價參數'!$B$7</x:f>
        <x:v>0.5</x:v>
      </x:c>
      <x:c r="V158" s="33" t="str">
        <x:f>IF(COUNTA(A158:T158)=0,"",K158*L158*'計價參數'!$B$5+M158*'計價參數'!$B$6+SUM(N158:T158))</x:f>
      </x:c>
      <x:c r="W158" s="33" t="str">
        <x:f>IF(V158="","",IF(U158&gt;=1,"",V158/(1-U158)))</x:f>
      </x:c>
      <x:c r="X158" s="33" t="str">
        <x:f>IF(G158="","",IFERROR(INDEX('加價服務矩陣'!$I$6:$I$29,MATCH(G158,'加價服務矩陣'!$A$6:$A$29,0)),0))</x:f>
      </x:c>
      <x:c r="Y158" s="33" t="str">
        <x:f>IF(W158="","",MAX(W158,X158))</x:f>
      </x:c>
      <x:c r="Z158" s="33"/>
      <x:c r="AA158" s="33" t="str">
        <x:f>IF(Y158="","",MAX(0,Y158-Z158))</x:f>
      </x:c>
      <x:c r="AB158" s="26"/>
      <x:c r="AC158" s="26"/>
      <x:c r="AD158" s="26"/>
      <x:c r="AE158" s="26"/>
      <x:c r="AF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  <x:c r="K159" s="26"/>
      <x:c r="L159" s="26"/>
      <x:c r="M159" s="26"/>
      <x:c r="N159" s="33"/>
      <x:c r="O159" s="33"/>
      <x:c r="P159" s="33"/>
      <x:c r="Q159" s="33"/>
      <x:c r="R159" s="33"/>
      <x:c r="S159" s="33"/>
      <x:c r="T159" s="33"/>
      <x:c r="U159" s="37" t="n">
        <x:f>'計價參數'!$B$7</x:f>
        <x:v>0.5</x:v>
      </x:c>
      <x:c r="V159" s="33" t="str">
        <x:f>IF(COUNTA(A159:T159)=0,"",K159*L159*'計價參數'!$B$5+M159*'計價參數'!$B$6+SUM(N159:T159))</x:f>
      </x:c>
      <x:c r="W159" s="33" t="str">
        <x:f>IF(V159="","",IF(U159&gt;=1,"",V159/(1-U159)))</x:f>
      </x:c>
      <x:c r="X159" s="33" t="str">
        <x:f>IF(G159="","",IFERROR(INDEX('加價服務矩陣'!$I$6:$I$29,MATCH(G159,'加價服務矩陣'!$A$6:$A$29,0)),0))</x:f>
      </x:c>
      <x:c r="Y159" s="33" t="str">
        <x:f>IF(W159="","",MAX(W159,X159))</x:f>
      </x:c>
      <x:c r="Z159" s="33"/>
      <x:c r="AA159" s="33" t="str">
        <x:f>IF(Y159="","",MAX(0,Y159-Z159))</x:f>
      </x:c>
      <x:c r="AB159" s="26"/>
      <x:c r="AC159" s="26"/>
      <x:c r="AD159" s="26"/>
      <x:c r="AE159" s="26"/>
      <x:c r="AF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  <x:c r="K160" s="26"/>
      <x:c r="L160" s="26"/>
      <x:c r="M160" s="26"/>
      <x:c r="N160" s="33"/>
      <x:c r="O160" s="33"/>
      <x:c r="P160" s="33"/>
      <x:c r="Q160" s="33"/>
      <x:c r="R160" s="33"/>
      <x:c r="S160" s="33"/>
      <x:c r="T160" s="33"/>
      <x:c r="U160" s="37" t="n">
        <x:f>'計價參數'!$B$7</x:f>
        <x:v>0.5</x:v>
      </x:c>
      <x:c r="V160" s="33" t="str">
        <x:f>IF(COUNTA(A160:T160)=0,"",K160*L160*'計價參數'!$B$5+M160*'計價參數'!$B$6+SUM(N160:T160))</x:f>
      </x:c>
      <x:c r="W160" s="33" t="str">
        <x:f>IF(V160="","",IF(U160&gt;=1,"",V160/(1-U160)))</x:f>
      </x:c>
      <x:c r="X160" s="33" t="str">
        <x:f>IF(G160="","",IFERROR(INDEX('加價服務矩陣'!$I$6:$I$29,MATCH(G160,'加價服務矩陣'!$A$6:$A$29,0)),0))</x:f>
      </x:c>
      <x:c r="Y160" s="33" t="str">
        <x:f>IF(W160="","",MAX(W160,X160))</x:f>
      </x:c>
      <x:c r="Z160" s="33"/>
      <x:c r="AA160" s="33" t="str">
        <x:f>IF(Y160="","",MAX(0,Y160-Z160))</x:f>
      </x:c>
      <x:c r="AB160" s="26"/>
      <x:c r="AC160" s="26"/>
      <x:c r="AD160" s="26"/>
      <x:c r="AE160" s="26"/>
      <x:c r="AF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  <x:c r="K161" s="26"/>
      <x:c r="L161" s="26"/>
      <x:c r="M161" s="26"/>
      <x:c r="N161" s="33"/>
      <x:c r="O161" s="33"/>
      <x:c r="P161" s="33"/>
      <x:c r="Q161" s="33"/>
      <x:c r="R161" s="33"/>
      <x:c r="S161" s="33"/>
      <x:c r="T161" s="33"/>
      <x:c r="U161" s="37" t="n">
        <x:f>'計價參數'!$B$7</x:f>
        <x:v>0.5</x:v>
      </x:c>
      <x:c r="V161" s="33" t="str">
        <x:f>IF(COUNTA(A161:T161)=0,"",K161*L161*'計價參數'!$B$5+M161*'計價參數'!$B$6+SUM(N161:T161))</x:f>
      </x:c>
      <x:c r="W161" s="33" t="str">
        <x:f>IF(V161="","",IF(U161&gt;=1,"",V161/(1-U161)))</x:f>
      </x:c>
      <x:c r="X161" s="33" t="str">
        <x:f>IF(G161="","",IFERROR(INDEX('加價服務矩陣'!$I$6:$I$29,MATCH(G161,'加價服務矩陣'!$A$6:$A$29,0)),0))</x:f>
      </x:c>
      <x:c r="Y161" s="33" t="str">
        <x:f>IF(W161="","",MAX(W161,X161))</x:f>
      </x:c>
      <x:c r="Z161" s="33"/>
      <x:c r="AA161" s="33" t="str">
        <x:f>IF(Y161="","",MAX(0,Y161-Z161))</x:f>
      </x:c>
      <x:c r="AB161" s="26"/>
      <x:c r="AC161" s="26"/>
      <x:c r="AD161" s="26"/>
      <x:c r="AE161" s="26"/>
      <x:c r="AF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  <x:c r="K162" s="26"/>
      <x:c r="L162" s="26"/>
      <x:c r="M162" s="26"/>
      <x:c r="N162" s="33"/>
      <x:c r="O162" s="33"/>
      <x:c r="P162" s="33"/>
      <x:c r="Q162" s="33"/>
      <x:c r="R162" s="33"/>
      <x:c r="S162" s="33"/>
      <x:c r="T162" s="33"/>
      <x:c r="U162" s="37" t="n">
        <x:f>'計價參數'!$B$7</x:f>
        <x:v>0.5</x:v>
      </x:c>
      <x:c r="V162" s="33" t="str">
        <x:f>IF(COUNTA(A162:T162)=0,"",K162*L162*'計價參數'!$B$5+M162*'計價參數'!$B$6+SUM(N162:T162))</x:f>
      </x:c>
      <x:c r="W162" s="33" t="str">
        <x:f>IF(V162="","",IF(U162&gt;=1,"",V162/(1-U162)))</x:f>
      </x:c>
      <x:c r="X162" s="33" t="str">
        <x:f>IF(G162="","",IFERROR(INDEX('加價服務矩陣'!$I$6:$I$29,MATCH(G162,'加價服務矩陣'!$A$6:$A$29,0)),0))</x:f>
      </x:c>
      <x:c r="Y162" s="33" t="str">
        <x:f>IF(W162="","",MAX(W162,X162))</x:f>
      </x:c>
      <x:c r="Z162" s="33"/>
      <x:c r="AA162" s="33" t="str">
        <x:f>IF(Y162="","",MAX(0,Y162-Z162))</x:f>
      </x:c>
      <x:c r="AB162" s="26"/>
      <x:c r="AC162" s="26"/>
      <x:c r="AD162" s="26"/>
      <x:c r="AE162" s="26"/>
      <x:c r="AF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  <x:c r="K163" s="26"/>
      <x:c r="L163" s="26"/>
      <x:c r="M163" s="26"/>
      <x:c r="N163" s="33"/>
      <x:c r="O163" s="33"/>
      <x:c r="P163" s="33"/>
      <x:c r="Q163" s="33"/>
      <x:c r="R163" s="33"/>
      <x:c r="S163" s="33"/>
      <x:c r="T163" s="33"/>
      <x:c r="U163" s="37" t="n">
        <x:f>'計價參數'!$B$7</x:f>
        <x:v>0.5</x:v>
      </x:c>
      <x:c r="V163" s="33" t="str">
        <x:f>IF(COUNTA(A163:T163)=0,"",K163*L163*'計價參數'!$B$5+M163*'計價參數'!$B$6+SUM(N163:T163))</x:f>
      </x:c>
      <x:c r="W163" s="33" t="str">
        <x:f>IF(V163="","",IF(U163&gt;=1,"",V163/(1-U163)))</x:f>
      </x:c>
      <x:c r="X163" s="33" t="str">
        <x:f>IF(G163="","",IFERROR(INDEX('加價服務矩陣'!$I$6:$I$29,MATCH(G163,'加價服務矩陣'!$A$6:$A$29,0)),0))</x:f>
      </x:c>
      <x:c r="Y163" s="33" t="str">
        <x:f>IF(W163="","",MAX(W163,X163))</x:f>
      </x:c>
      <x:c r="Z163" s="33"/>
      <x:c r="AA163" s="33" t="str">
        <x:f>IF(Y163="","",MAX(0,Y163-Z163))</x:f>
      </x:c>
      <x:c r="AB163" s="26"/>
      <x:c r="AC163" s="26"/>
      <x:c r="AD163" s="26"/>
      <x:c r="AE163" s="26"/>
      <x:c r="AF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  <x:c r="K164" s="26"/>
      <x:c r="L164" s="26"/>
      <x:c r="M164" s="26"/>
      <x:c r="N164" s="33"/>
      <x:c r="O164" s="33"/>
      <x:c r="P164" s="33"/>
      <x:c r="Q164" s="33"/>
      <x:c r="R164" s="33"/>
      <x:c r="S164" s="33"/>
      <x:c r="T164" s="33"/>
      <x:c r="U164" s="37" t="n">
        <x:f>'計價參數'!$B$7</x:f>
        <x:v>0.5</x:v>
      </x:c>
      <x:c r="V164" s="33" t="str">
        <x:f>IF(COUNTA(A164:T164)=0,"",K164*L164*'計價參數'!$B$5+M164*'計價參數'!$B$6+SUM(N164:T164))</x:f>
      </x:c>
      <x:c r="W164" s="33" t="str">
        <x:f>IF(V164="","",IF(U164&gt;=1,"",V164/(1-U164)))</x:f>
      </x:c>
      <x:c r="X164" s="33" t="str">
        <x:f>IF(G164="","",IFERROR(INDEX('加價服務矩陣'!$I$6:$I$29,MATCH(G164,'加價服務矩陣'!$A$6:$A$29,0)),0))</x:f>
      </x:c>
      <x:c r="Y164" s="33" t="str">
        <x:f>IF(W164="","",MAX(W164,X164))</x:f>
      </x:c>
      <x:c r="Z164" s="33"/>
      <x:c r="AA164" s="33" t="str">
        <x:f>IF(Y164="","",MAX(0,Y164-Z164))</x:f>
      </x:c>
      <x:c r="AB164" s="26"/>
      <x:c r="AC164" s="26"/>
      <x:c r="AD164" s="26"/>
      <x:c r="AE164" s="26"/>
      <x:c r="AF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33"/>
      <x:c r="O165" s="33"/>
      <x:c r="P165" s="33"/>
      <x:c r="Q165" s="33"/>
      <x:c r="R165" s="33"/>
      <x:c r="S165" s="33"/>
      <x:c r="T165" s="33"/>
      <x:c r="U165" s="37" t="n">
        <x:f>'計價參數'!$B$7</x:f>
        <x:v>0.5</x:v>
      </x:c>
      <x:c r="V165" s="33" t="str">
        <x:f>IF(COUNTA(A165:T165)=0,"",K165*L165*'計價參數'!$B$5+M165*'計價參數'!$B$6+SUM(N165:T165))</x:f>
      </x:c>
      <x:c r="W165" s="33" t="str">
        <x:f>IF(V165="","",IF(U165&gt;=1,"",V165/(1-U165)))</x:f>
      </x:c>
      <x:c r="X165" s="33" t="str">
        <x:f>IF(G165="","",IFERROR(INDEX('加價服務矩陣'!$I$6:$I$29,MATCH(G165,'加價服務矩陣'!$A$6:$A$29,0)),0))</x:f>
      </x:c>
      <x:c r="Y165" s="33" t="str">
        <x:f>IF(W165="","",MAX(W165,X165))</x:f>
      </x:c>
      <x:c r="Z165" s="33"/>
      <x:c r="AA165" s="33" t="str">
        <x:f>IF(Y165="","",MAX(0,Y165-Z165))</x:f>
      </x:c>
      <x:c r="AB165" s="26"/>
      <x:c r="AC165" s="26"/>
      <x:c r="AD165" s="26"/>
      <x:c r="AE165" s="26"/>
      <x:c r="AF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33"/>
      <x:c r="O166" s="33"/>
      <x:c r="P166" s="33"/>
      <x:c r="Q166" s="33"/>
      <x:c r="R166" s="33"/>
      <x:c r="S166" s="33"/>
      <x:c r="T166" s="33"/>
      <x:c r="U166" s="37" t="n">
        <x:f>'計價參數'!$B$7</x:f>
        <x:v>0.5</x:v>
      </x:c>
      <x:c r="V166" s="33" t="str">
        <x:f>IF(COUNTA(A166:T166)=0,"",K166*L166*'計價參數'!$B$5+M166*'計價參數'!$B$6+SUM(N166:T166))</x:f>
      </x:c>
      <x:c r="W166" s="33" t="str">
        <x:f>IF(V166="","",IF(U166&gt;=1,"",V166/(1-U166)))</x:f>
      </x:c>
      <x:c r="X166" s="33" t="str">
        <x:f>IF(G166="","",IFERROR(INDEX('加價服務矩陣'!$I$6:$I$29,MATCH(G166,'加價服務矩陣'!$A$6:$A$29,0)),0))</x:f>
      </x:c>
      <x:c r="Y166" s="33" t="str">
        <x:f>IF(W166="","",MAX(W166,X166))</x:f>
      </x:c>
      <x:c r="Z166" s="33"/>
      <x:c r="AA166" s="33" t="str">
        <x:f>IF(Y166="","",MAX(0,Y166-Z166))</x:f>
      </x:c>
      <x:c r="AB166" s="26"/>
      <x:c r="AC166" s="26"/>
      <x:c r="AD166" s="26"/>
      <x:c r="AE166" s="26"/>
      <x:c r="AF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  <x:c r="K167" s="26"/>
      <x:c r="L167" s="26"/>
      <x:c r="M167" s="26"/>
      <x:c r="N167" s="33"/>
      <x:c r="O167" s="33"/>
      <x:c r="P167" s="33"/>
      <x:c r="Q167" s="33"/>
      <x:c r="R167" s="33"/>
      <x:c r="S167" s="33"/>
      <x:c r="T167" s="33"/>
      <x:c r="U167" s="37" t="n">
        <x:f>'計價參數'!$B$7</x:f>
        <x:v>0.5</x:v>
      </x:c>
      <x:c r="V167" s="33" t="str">
        <x:f>IF(COUNTA(A167:T167)=0,"",K167*L167*'計價參數'!$B$5+M167*'計價參數'!$B$6+SUM(N167:T167))</x:f>
      </x:c>
      <x:c r="W167" s="33" t="str">
        <x:f>IF(V167="","",IF(U167&gt;=1,"",V167/(1-U167)))</x:f>
      </x:c>
      <x:c r="X167" s="33" t="str">
        <x:f>IF(G167="","",IFERROR(INDEX('加價服務矩陣'!$I$6:$I$29,MATCH(G167,'加價服務矩陣'!$A$6:$A$29,0)),0))</x:f>
      </x:c>
      <x:c r="Y167" s="33" t="str">
        <x:f>IF(W167="","",MAX(W167,X167))</x:f>
      </x:c>
      <x:c r="Z167" s="33"/>
      <x:c r="AA167" s="33" t="str">
        <x:f>IF(Y167="","",MAX(0,Y167-Z167))</x:f>
      </x:c>
      <x:c r="AB167" s="26"/>
      <x:c r="AC167" s="26"/>
      <x:c r="AD167" s="26"/>
      <x:c r="AE167" s="26"/>
      <x:c r="AF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  <x:c r="K168" s="26"/>
      <x:c r="L168" s="26"/>
      <x:c r="M168" s="26"/>
      <x:c r="N168" s="33"/>
      <x:c r="O168" s="33"/>
      <x:c r="P168" s="33"/>
      <x:c r="Q168" s="33"/>
      <x:c r="R168" s="33"/>
      <x:c r="S168" s="33"/>
      <x:c r="T168" s="33"/>
      <x:c r="U168" s="37" t="n">
        <x:f>'計價參數'!$B$7</x:f>
        <x:v>0.5</x:v>
      </x:c>
      <x:c r="V168" s="33" t="str">
        <x:f>IF(COUNTA(A168:T168)=0,"",K168*L168*'計價參數'!$B$5+M168*'計價參數'!$B$6+SUM(N168:T168))</x:f>
      </x:c>
      <x:c r="W168" s="33" t="str">
        <x:f>IF(V168="","",IF(U168&gt;=1,"",V168/(1-U168)))</x:f>
      </x:c>
      <x:c r="X168" s="33" t="str">
        <x:f>IF(G168="","",IFERROR(INDEX('加價服務矩陣'!$I$6:$I$29,MATCH(G168,'加價服務矩陣'!$A$6:$A$29,0)),0))</x:f>
      </x:c>
      <x:c r="Y168" s="33" t="str">
        <x:f>IF(W168="","",MAX(W168,X168))</x:f>
      </x:c>
      <x:c r="Z168" s="33"/>
      <x:c r="AA168" s="33" t="str">
        <x:f>IF(Y168="","",MAX(0,Y168-Z168))</x:f>
      </x:c>
      <x:c r="AB168" s="26"/>
      <x:c r="AC168" s="26"/>
      <x:c r="AD168" s="26"/>
      <x:c r="AE168" s="26"/>
      <x:c r="AF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  <x:c r="K169" s="26"/>
      <x:c r="L169" s="26"/>
      <x:c r="M169" s="26"/>
      <x:c r="N169" s="33"/>
      <x:c r="O169" s="33"/>
      <x:c r="P169" s="33"/>
      <x:c r="Q169" s="33"/>
      <x:c r="R169" s="33"/>
      <x:c r="S169" s="33"/>
      <x:c r="T169" s="33"/>
      <x:c r="U169" s="37" t="n">
        <x:f>'計價參數'!$B$7</x:f>
        <x:v>0.5</x:v>
      </x:c>
      <x:c r="V169" s="33" t="str">
        <x:f>IF(COUNTA(A169:T169)=0,"",K169*L169*'計價參數'!$B$5+M169*'計價參數'!$B$6+SUM(N169:T169))</x:f>
      </x:c>
      <x:c r="W169" s="33" t="str">
        <x:f>IF(V169="","",IF(U169&gt;=1,"",V169/(1-U169)))</x:f>
      </x:c>
      <x:c r="X169" s="33" t="str">
        <x:f>IF(G169="","",IFERROR(INDEX('加價服務矩陣'!$I$6:$I$29,MATCH(G169,'加價服務矩陣'!$A$6:$A$29,0)),0))</x:f>
      </x:c>
      <x:c r="Y169" s="33" t="str">
        <x:f>IF(W169="","",MAX(W169,X169))</x:f>
      </x:c>
      <x:c r="Z169" s="33"/>
      <x:c r="AA169" s="33" t="str">
        <x:f>IF(Y169="","",MAX(0,Y169-Z169))</x:f>
      </x:c>
      <x:c r="AB169" s="26"/>
      <x:c r="AC169" s="26"/>
      <x:c r="AD169" s="26"/>
      <x:c r="AE169" s="26"/>
      <x:c r="AF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  <x:c r="K170" s="26"/>
      <x:c r="L170" s="26"/>
      <x:c r="M170" s="26"/>
      <x:c r="N170" s="33"/>
      <x:c r="O170" s="33"/>
      <x:c r="P170" s="33"/>
      <x:c r="Q170" s="33"/>
      <x:c r="R170" s="33"/>
      <x:c r="S170" s="33"/>
      <x:c r="T170" s="33"/>
      <x:c r="U170" s="37" t="n">
        <x:f>'計價參數'!$B$7</x:f>
        <x:v>0.5</x:v>
      </x:c>
      <x:c r="V170" s="33" t="str">
        <x:f>IF(COUNTA(A170:T170)=0,"",K170*L170*'計價參數'!$B$5+M170*'計價參數'!$B$6+SUM(N170:T170))</x:f>
      </x:c>
      <x:c r="W170" s="33" t="str">
        <x:f>IF(V170="","",IF(U170&gt;=1,"",V170/(1-U170)))</x:f>
      </x:c>
      <x:c r="X170" s="33" t="str">
        <x:f>IF(G170="","",IFERROR(INDEX('加價服務矩陣'!$I$6:$I$29,MATCH(G170,'加價服務矩陣'!$A$6:$A$29,0)),0))</x:f>
      </x:c>
      <x:c r="Y170" s="33" t="str">
        <x:f>IF(W170="","",MAX(W170,X170))</x:f>
      </x:c>
      <x:c r="Z170" s="33"/>
      <x:c r="AA170" s="33" t="str">
        <x:f>IF(Y170="","",MAX(0,Y170-Z170))</x:f>
      </x:c>
      <x:c r="AB170" s="26"/>
      <x:c r="AC170" s="26"/>
      <x:c r="AD170" s="26"/>
      <x:c r="AE170" s="26"/>
      <x:c r="AF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  <x:c r="K171" s="26"/>
      <x:c r="L171" s="26"/>
      <x:c r="M171" s="26"/>
      <x:c r="N171" s="33"/>
      <x:c r="O171" s="33"/>
      <x:c r="P171" s="33"/>
      <x:c r="Q171" s="33"/>
      <x:c r="R171" s="33"/>
      <x:c r="S171" s="33"/>
      <x:c r="T171" s="33"/>
      <x:c r="U171" s="37" t="n">
        <x:f>'計價參數'!$B$7</x:f>
        <x:v>0.5</x:v>
      </x:c>
      <x:c r="V171" s="33" t="str">
        <x:f>IF(COUNTA(A171:T171)=0,"",K171*L171*'計價參數'!$B$5+M171*'計價參數'!$B$6+SUM(N171:T171))</x:f>
      </x:c>
      <x:c r="W171" s="33" t="str">
        <x:f>IF(V171="","",IF(U171&gt;=1,"",V171/(1-U171)))</x:f>
      </x:c>
      <x:c r="X171" s="33" t="str">
        <x:f>IF(G171="","",IFERROR(INDEX('加價服務矩陣'!$I$6:$I$29,MATCH(G171,'加價服務矩陣'!$A$6:$A$29,0)),0))</x:f>
      </x:c>
      <x:c r="Y171" s="33" t="str">
        <x:f>IF(W171="","",MAX(W171,X171))</x:f>
      </x:c>
      <x:c r="Z171" s="33"/>
      <x:c r="AA171" s="33" t="str">
        <x:f>IF(Y171="","",MAX(0,Y171-Z171))</x:f>
      </x:c>
      <x:c r="AB171" s="26"/>
      <x:c r="AC171" s="26"/>
      <x:c r="AD171" s="26"/>
      <x:c r="AE171" s="26"/>
      <x:c r="AF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  <x:c r="K172" s="26"/>
      <x:c r="L172" s="26"/>
      <x:c r="M172" s="26"/>
      <x:c r="N172" s="33"/>
      <x:c r="O172" s="33"/>
      <x:c r="P172" s="33"/>
      <x:c r="Q172" s="33"/>
      <x:c r="R172" s="33"/>
      <x:c r="S172" s="33"/>
      <x:c r="T172" s="33"/>
      <x:c r="U172" s="37" t="n">
        <x:f>'計價參數'!$B$7</x:f>
        <x:v>0.5</x:v>
      </x:c>
      <x:c r="V172" s="33" t="str">
        <x:f>IF(COUNTA(A172:T172)=0,"",K172*L172*'計價參數'!$B$5+M172*'計價參數'!$B$6+SUM(N172:T172))</x:f>
      </x:c>
      <x:c r="W172" s="33" t="str">
        <x:f>IF(V172="","",IF(U172&gt;=1,"",V172/(1-U172)))</x:f>
      </x:c>
      <x:c r="X172" s="33" t="str">
        <x:f>IF(G172="","",IFERROR(INDEX('加價服務矩陣'!$I$6:$I$29,MATCH(G172,'加價服務矩陣'!$A$6:$A$29,0)),0))</x:f>
      </x:c>
      <x:c r="Y172" s="33" t="str">
        <x:f>IF(W172="","",MAX(W172,X172))</x:f>
      </x:c>
      <x:c r="Z172" s="33"/>
      <x:c r="AA172" s="33" t="str">
        <x:f>IF(Y172="","",MAX(0,Y172-Z172))</x:f>
      </x:c>
      <x:c r="AB172" s="26"/>
      <x:c r="AC172" s="26"/>
      <x:c r="AD172" s="26"/>
      <x:c r="AE172" s="26"/>
      <x:c r="AF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  <x:c r="K173" s="26"/>
      <x:c r="L173" s="26"/>
      <x:c r="M173" s="26"/>
      <x:c r="N173" s="33"/>
      <x:c r="O173" s="33"/>
      <x:c r="P173" s="33"/>
      <x:c r="Q173" s="33"/>
      <x:c r="R173" s="33"/>
      <x:c r="S173" s="33"/>
      <x:c r="T173" s="33"/>
      <x:c r="U173" s="37" t="n">
        <x:f>'計價參數'!$B$7</x:f>
        <x:v>0.5</x:v>
      </x:c>
      <x:c r="V173" s="33" t="str">
        <x:f>IF(COUNTA(A173:T173)=0,"",K173*L173*'計價參數'!$B$5+M173*'計價參數'!$B$6+SUM(N173:T173))</x:f>
      </x:c>
      <x:c r="W173" s="33" t="str">
        <x:f>IF(V173="","",IF(U173&gt;=1,"",V173/(1-U173)))</x:f>
      </x:c>
      <x:c r="X173" s="33" t="str">
        <x:f>IF(G173="","",IFERROR(INDEX('加價服務矩陣'!$I$6:$I$29,MATCH(G173,'加價服務矩陣'!$A$6:$A$29,0)),0))</x:f>
      </x:c>
      <x:c r="Y173" s="33" t="str">
        <x:f>IF(W173="","",MAX(W173,X173))</x:f>
      </x:c>
      <x:c r="Z173" s="33"/>
      <x:c r="AA173" s="33" t="str">
        <x:f>IF(Y173="","",MAX(0,Y173-Z173))</x:f>
      </x:c>
      <x:c r="AB173" s="26"/>
      <x:c r="AC173" s="26"/>
      <x:c r="AD173" s="26"/>
      <x:c r="AE173" s="26"/>
      <x:c r="AF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  <x:c r="K174" s="26"/>
      <x:c r="L174" s="26"/>
      <x:c r="M174" s="26"/>
      <x:c r="N174" s="33"/>
      <x:c r="O174" s="33"/>
      <x:c r="P174" s="33"/>
      <x:c r="Q174" s="33"/>
      <x:c r="R174" s="33"/>
      <x:c r="S174" s="33"/>
      <x:c r="T174" s="33"/>
      <x:c r="U174" s="37" t="n">
        <x:f>'計價參數'!$B$7</x:f>
        <x:v>0.5</x:v>
      </x:c>
      <x:c r="V174" s="33" t="str">
        <x:f>IF(COUNTA(A174:T174)=0,"",K174*L174*'計價參數'!$B$5+M174*'計價參數'!$B$6+SUM(N174:T174))</x:f>
      </x:c>
      <x:c r="W174" s="33" t="str">
        <x:f>IF(V174="","",IF(U174&gt;=1,"",V174/(1-U174)))</x:f>
      </x:c>
      <x:c r="X174" s="33" t="str">
        <x:f>IF(G174="","",IFERROR(INDEX('加價服務矩陣'!$I$6:$I$29,MATCH(G174,'加價服務矩陣'!$A$6:$A$29,0)),0))</x:f>
      </x:c>
      <x:c r="Y174" s="33" t="str">
        <x:f>IF(W174="","",MAX(W174,X174))</x:f>
      </x:c>
      <x:c r="Z174" s="33"/>
      <x:c r="AA174" s="33" t="str">
        <x:f>IF(Y174="","",MAX(0,Y174-Z174))</x:f>
      </x:c>
      <x:c r="AB174" s="26"/>
      <x:c r="AC174" s="26"/>
      <x:c r="AD174" s="26"/>
      <x:c r="AE174" s="26"/>
      <x:c r="AF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  <x:c r="K175" s="26"/>
      <x:c r="L175" s="26"/>
      <x:c r="M175" s="26"/>
      <x:c r="N175" s="33"/>
      <x:c r="O175" s="33"/>
      <x:c r="P175" s="33"/>
      <x:c r="Q175" s="33"/>
      <x:c r="R175" s="33"/>
      <x:c r="S175" s="33"/>
      <x:c r="T175" s="33"/>
      <x:c r="U175" s="37" t="n">
        <x:f>'計價參數'!$B$7</x:f>
        <x:v>0.5</x:v>
      </x:c>
      <x:c r="V175" s="33" t="str">
        <x:f>IF(COUNTA(A175:T175)=0,"",K175*L175*'計價參數'!$B$5+M175*'計價參數'!$B$6+SUM(N175:T175))</x:f>
      </x:c>
      <x:c r="W175" s="33" t="str">
        <x:f>IF(V175="","",IF(U175&gt;=1,"",V175/(1-U175)))</x:f>
      </x:c>
      <x:c r="X175" s="33" t="str">
        <x:f>IF(G175="","",IFERROR(INDEX('加價服務矩陣'!$I$6:$I$29,MATCH(G175,'加價服務矩陣'!$A$6:$A$29,0)),0))</x:f>
      </x:c>
      <x:c r="Y175" s="33" t="str">
        <x:f>IF(W175="","",MAX(W175,X175))</x:f>
      </x:c>
      <x:c r="Z175" s="33"/>
      <x:c r="AA175" s="33" t="str">
        <x:f>IF(Y175="","",MAX(0,Y175-Z175))</x:f>
      </x:c>
      <x:c r="AB175" s="26"/>
      <x:c r="AC175" s="26"/>
      <x:c r="AD175" s="26"/>
      <x:c r="AE175" s="26"/>
      <x:c r="AF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  <x:c r="K176" s="26"/>
      <x:c r="L176" s="26"/>
      <x:c r="M176" s="26"/>
      <x:c r="N176" s="33"/>
      <x:c r="O176" s="33"/>
      <x:c r="P176" s="33"/>
      <x:c r="Q176" s="33"/>
      <x:c r="R176" s="33"/>
      <x:c r="S176" s="33"/>
      <x:c r="T176" s="33"/>
      <x:c r="U176" s="37" t="n">
        <x:f>'計價參數'!$B$7</x:f>
        <x:v>0.5</x:v>
      </x:c>
      <x:c r="V176" s="33" t="str">
        <x:f>IF(COUNTA(A176:T176)=0,"",K176*L176*'計價參數'!$B$5+M176*'計價參數'!$B$6+SUM(N176:T176))</x:f>
      </x:c>
      <x:c r="W176" s="33" t="str">
        <x:f>IF(V176="","",IF(U176&gt;=1,"",V176/(1-U176)))</x:f>
      </x:c>
      <x:c r="X176" s="33" t="str">
        <x:f>IF(G176="","",IFERROR(INDEX('加價服務矩陣'!$I$6:$I$29,MATCH(G176,'加價服務矩陣'!$A$6:$A$29,0)),0))</x:f>
      </x:c>
      <x:c r="Y176" s="33" t="str">
        <x:f>IF(W176="","",MAX(W176,X176))</x:f>
      </x:c>
      <x:c r="Z176" s="33"/>
      <x:c r="AA176" s="33" t="str">
        <x:f>IF(Y176="","",MAX(0,Y176-Z176))</x:f>
      </x:c>
      <x:c r="AB176" s="26"/>
      <x:c r="AC176" s="26"/>
      <x:c r="AD176" s="26"/>
      <x:c r="AE176" s="26"/>
      <x:c r="AF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33"/>
      <x:c r="O177" s="33"/>
      <x:c r="P177" s="33"/>
      <x:c r="Q177" s="33"/>
      <x:c r="R177" s="33"/>
      <x:c r="S177" s="33"/>
      <x:c r="T177" s="33"/>
      <x:c r="U177" s="37" t="n">
        <x:f>'計價參數'!$B$7</x:f>
        <x:v>0.5</x:v>
      </x:c>
      <x:c r="V177" s="33" t="str">
        <x:f>IF(COUNTA(A177:T177)=0,"",K177*L177*'計價參數'!$B$5+M177*'計價參數'!$B$6+SUM(N177:T177))</x:f>
      </x:c>
      <x:c r="W177" s="33" t="str">
        <x:f>IF(V177="","",IF(U177&gt;=1,"",V177/(1-U177)))</x:f>
      </x:c>
      <x:c r="X177" s="33" t="str">
        <x:f>IF(G177="","",IFERROR(INDEX('加價服務矩陣'!$I$6:$I$29,MATCH(G177,'加價服務矩陣'!$A$6:$A$29,0)),0))</x:f>
      </x:c>
      <x:c r="Y177" s="33" t="str">
        <x:f>IF(W177="","",MAX(W177,X177))</x:f>
      </x:c>
      <x:c r="Z177" s="33"/>
      <x:c r="AA177" s="33" t="str">
        <x:f>IF(Y177="","",MAX(0,Y177-Z177))</x:f>
      </x:c>
      <x:c r="AB177" s="26"/>
      <x:c r="AC177" s="26"/>
      <x:c r="AD177" s="26"/>
      <x:c r="AE177" s="26"/>
      <x:c r="AF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33"/>
      <x:c r="O178" s="33"/>
      <x:c r="P178" s="33"/>
      <x:c r="Q178" s="33"/>
      <x:c r="R178" s="33"/>
      <x:c r="S178" s="33"/>
      <x:c r="T178" s="33"/>
      <x:c r="U178" s="37" t="n">
        <x:f>'計價參數'!$B$7</x:f>
        <x:v>0.5</x:v>
      </x:c>
      <x:c r="V178" s="33" t="str">
        <x:f>IF(COUNTA(A178:T178)=0,"",K178*L178*'計價參數'!$B$5+M178*'計價參數'!$B$6+SUM(N178:T178))</x:f>
      </x:c>
      <x:c r="W178" s="33" t="str">
        <x:f>IF(V178="","",IF(U178&gt;=1,"",V178/(1-U178)))</x:f>
      </x:c>
      <x:c r="X178" s="33" t="str">
        <x:f>IF(G178="","",IFERROR(INDEX('加價服務矩陣'!$I$6:$I$29,MATCH(G178,'加價服務矩陣'!$A$6:$A$29,0)),0))</x:f>
      </x:c>
      <x:c r="Y178" s="33" t="str">
        <x:f>IF(W178="","",MAX(W178,X178))</x:f>
      </x:c>
      <x:c r="Z178" s="33"/>
      <x:c r="AA178" s="33" t="str">
        <x:f>IF(Y178="","",MAX(0,Y178-Z178))</x:f>
      </x:c>
      <x:c r="AB178" s="26"/>
      <x:c r="AC178" s="26"/>
      <x:c r="AD178" s="26"/>
      <x:c r="AE178" s="26"/>
      <x:c r="AF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  <x:c r="K179" s="26"/>
      <x:c r="L179" s="26"/>
      <x:c r="M179" s="26"/>
      <x:c r="N179" s="33"/>
      <x:c r="O179" s="33"/>
      <x:c r="P179" s="33"/>
      <x:c r="Q179" s="33"/>
      <x:c r="R179" s="33"/>
      <x:c r="S179" s="33"/>
      <x:c r="T179" s="33"/>
      <x:c r="U179" s="37" t="n">
        <x:f>'計價參數'!$B$7</x:f>
        <x:v>0.5</x:v>
      </x:c>
      <x:c r="V179" s="33" t="str">
        <x:f>IF(COUNTA(A179:T179)=0,"",K179*L179*'計價參數'!$B$5+M179*'計價參數'!$B$6+SUM(N179:T179))</x:f>
      </x:c>
      <x:c r="W179" s="33" t="str">
        <x:f>IF(V179="","",IF(U179&gt;=1,"",V179/(1-U179)))</x:f>
      </x:c>
      <x:c r="X179" s="33" t="str">
        <x:f>IF(G179="","",IFERROR(INDEX('加價服務矩陣'!$I$6:$I$29,MATCH(G179,'加價服務矩陣'!$A$6:$A$29,0)),0))</x:f>
      </x:c>
      <x:c r="Y179" s="33" t="str">
        <x:f>IF(W179="","",MAX(W179,X179))</x:f>
      </x:c>
      <x:c r="Z179" s="33"/>
      <x:c r="AA179" s="33" t="str">
        <x:f>IF(Y179="","",MAX(0,Y179-Z179))</x:f>
      </x:c>
      <x:c r="AB179" s="26"/>
      <x:c r="AC179" s="26"/>
      <x:c r="AD179" s="26"/>
      <x:c r="AE179" s="26"/>
      <x:c r="AF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  <x:c r="K180" s="26"/>
      <x:c r="L180" s="26"/>
      <x:c r="M180" s="26"/>
      <x:c r="N180" s="33"/>
      <x:c r="O180" s="33"/>
      <x:c r="P180" s="33"/>
      <x:c r="Q180" s="33"/>
      <x:c r="R180" s="33"/>
      <x:c r="S180" s="33"/>
      <x:c r="T180" s="33"/>
      <x:c r="U180" s="37" t="n">
        <x:f>'計價參數'!$B$7</x:f>
        <x:v>0.5</x:v>
      </x:c>
      <x:c r="V180" s="33" t="str">
        <x:f>IF(COUNTA(A180:T180)=0,"",K180*L180*'計價參數'!$B$5+M180*'計價參數'!$B$6+SUM(N180:T180))</x:f>
      </x:c>
      <x:c r="W180" s="33" t="str">
        <x:f>IF(V180="","",IF(U180&gt;=1,"",V180/(1-U180)))</x:f>
      </x:c>
      <x:c r="X180" s="33" t="str">
        <x:f>IF(G180="","",IFERROR(INDEX('加價服務矩陣'!$I$6:$I$29,MATCH(G180,'加價服務矩陣'!$A$6:$A$29,0)),0))</x:f>
      </x:c>
      <x:c r="Y180" s="33" t="str">
        <x:f>IF(W180="","",MAX(W180,X180))</x:f>
      </x:c>
      <x:c r="Z180" s="33"/>
      <x:c r="AA180" s="33" t="str">
        <x:f>IF(Y180="","",MAX(0,Y180-Z180))</x:f>
      </x:c>
      <x:c r="AB180" s="26"/>
      <x:c r="AC180" s="26"/>
      <x:c r="AD180" s="26"/>
      <x:c r="AE180" s="26"/>
      <x:c r="AF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  <x:c r="K181" s="26"/>
      <x:c r="L181" s="26"/>
      <x:c r="M181" s="26"/>
      <x:c r="N181" s="33"/>
      <x:c r="O181" s="33"/>
      <x:c r="P181" s="33"/>
      <x:c r="Q181" s="33"/>
      <x:c r="R181" s="33"/>
      <x:c r="S181" s="33"/>
      <x:c r="T181" s="33"/>
      <x:c r="U181" s="37" t="n">
        <x:f>'計價參數'!$B$7</x:f>
        <x:v>0.5</x:v>
      </x:c>
      <x:c r="V181" s="33" t="str">
        <x:f>IF(COUNTA(A181:T181)=0,"",K181*L181*'計價參數'!$B$5+M181*'計價參數'!$B$6+SUM(N181:T181))</x:f>
      </x:c>
      <x:c r="W181" s="33" t="str">
        <x:f>IF(V181="","",IF(U181&gt;=1,"",V181/(1-U181)))</x:f>
      </x:c>
      <x:c r="X181" s="33" t="str">
        <x:f>IF(G181="","",IFERROR(INDEX('加價服務矩陣'!$I$6:$I$29,MATCH(G181,'加價服務矩陣'!$A$6:$A$29,0)),0))</x:f>
      </x:c>
      <x:c r="Y181" s="33" t="str">
        <x:f>IF(W181="","",MAX(W181,X181))</x:f>
      </x:c>
      <x:c r="Z181" s="33"/>
      <x:c r="AA181" s="33" t="str">
        <x:f>IF(Y181="","",MAX(0,Y181-Z181))</x:f>
      </x:c>
      <x:c r="AB181" s="26"/>
      <x:c r="AC181" s="26"/>
      <x:c r="AD181" s="26"/>
      <x:c r="AE181" s="26"/>
      <x:c r="AF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  <x:c r="K182" s="26"/>
      <x:c r="L182" s="26"/>
      <x:c r="M182" s="26"/>
      <x:c r="N182" s="33"/>
      <x:c r="O182" s="33"/>
      <x:c r="P182" s="33"/>
      <x:c r="Q182" s="33"/>
      <x:c r="R182" s="33"/>
      <x:c r="S182" s="33"/>
      <x:c r="T182" s="33"/>
      <x:c r="U182" s="37" t="n">
        <x:f>'計價參數'!$B$7</x:f>
        <x:v>0.5</x:v>
      </x:c>
      <x:c r="V182" s="33" t="str">
        <x:f>IF(COUNTA(A182:T182)=0,"",K182*L182*'計價參數'!$B$5+M182*'計價參數'!$B$6+SUM(N182:T182))</x:f>
      </x:c>
      <x:c r="W182" s="33" t="str">
        <x:f>IF(V182="","",IF(U182&gt;=1,"",V182/(1-U182)))</x:f>
      </x:c>
      <x:c r="X182" s="33" t="str">
        <x:f>IF(G182="","",IFERROR(INDEX('加價服務矩陣'!$I$6:$I$29,MATCH(G182,'加價服務矩陣'!$A$6:$A$29,0)),0))</x:f>
      </x:c>
      <x:c r="Y182" s="33" t="str">
        <x:f>IF(W182="","",MAX(W182,X182))</x:f>
      </x:c>
      <x:c r="Z182" s="33"/>
      <x:c r="AA182" s="33" t="str">
        <x:f>IF(Y182="","",MAX(0,Y182-Z182))</x:f>
      </x:c>
      <x:c r="AB182" s="26"/>
      <x:c r="AC182" s="26"/>
      <x:c r="AD182" s="26"/>
      <x:c r="AE182" s="26"/>
      <x:c r="AF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  <x:c r="K183" s="26"/>
      <x:c r="L183" s="26"/>
      <x:c r="M183" s="26"/>
      <x:c r="N183" s="33"/>
      <x:c r="O183" s="33"/>
      <x:c r="P183" s="33"/>
      <x:c r="Q183" s="33"/>
      <x:c r="R183" s="33"/>
      <x:c r="S183" s="33"/>
      <x:c r="T183" s="33"/>
      <x:c r="U183" s="37" t="n">
        <x:f>'計價參數'!$B$7</x:f>
        <x:v>0.5</x:v>
      </x:c>
      <x:c r="V183" s="33" t="str">
        <x:f>IF(COUNTA(A183:T183)=0,"",K183*L183*'計價參數'!$B$5+M183*'計價參數'!$B$6+SUM(N183:T183))</x:f>
      </x:c>
      <x:c r="W183" s="33" t="str">
        <x:f>IF(V183="","",IF(U183&gt;=1,"",V183/(1-U183)))</x:f>
      </x:c>
      <x:c r="X183" s="33" t="str">
        <x:f>IF(G183="","",IFERROR(INDEX('加價服務矩陣'!$I$6:$I$29,MATCH(G183,'加價服務矩陣'!$A$6:$A$29,0)),0))</x:f>
      </x:c>
      <x:c r="Y183" s="33" t="str">
        <x:f>IF(W183="","",MAX(W183,X183))</x:f>
      </x:c>
      <x:c r="Z183" s="33"/>
      <x:c r="AA183" s="33" t="str">
        <x:f>IF(Y183="","",MAX(0,Y183-Z183))</x:f>
      </x:c>
      <x:c r="AB183" s="26"/>
      <x:c r="AC183" s="26"/>
      <x:c r="AD183" s="26"/>
      <x:c r="AE183" s="26"/>
      <x:c r="AF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  <x:c r="K184" s="26"/>
      <x:c r="L184" s="26"/>
      <x:c r="M184" s="26"/>
      <x:c r="N184" s="33"/>
      <x:c r="O184" s="33"/>
      <x:c r="P184" s="33"/>
      <x:c r="Q184" s="33"/>
      <x:c r="R184" s="33"/>
      <x:c r="S184" s="33"/>
      <x:c r="T184" s="33"/>
      <x:c r="U184" s="37" t="n">
        <x:f>'計價參數'!$B$7</x:f>
        <x:v>0.5</x:v>
      </x:c>
      <x:c r="V184" s="33" t="str">
        <x:f>IF(COUNTA(A184:T184)=0,"",K184*L184*'計價參數'!$B$5+M184*'計價參數'!$B$6+SUM(N184:T184))</x:f>
      </x:c>
      <x:c r="W184" s="33" t="str">
        <x:f>IF(V184="","",IF(U184&gt;=1,"",V184/(1-U184)))</x:f>
      </x:c>
      <x:c r="X184" s="33" t="str">
        <x:f>IF(G184="","",IFERROR(INDEX('加價服務矩陣'!$I$6:$I$29,MATCH(G184,'加價服務矩陣'!$A$6:$A$29,0)),0))</x:f>
      </x:c>
      <x:c r="Y184" s="33" t="str">
        <x:f>IF(W184="","",MAX(W184,X184))</x:f>
      </x:c>
      <x:c r="Z184" s="33"/>
      <x:c r="AA184" s="33" t="str">
        <x:f>IF(Y184="","",MAX(0,Y184-Z184))</x:f>
      </x:c>
      <x:c r="AB184" s="26"/>
      <x:c r="AC184" s="26"/>
      <x:c r="AD184" s="26"/>
      <x:c r="AE184" s="26"/>
      <x:c r="AF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  <x:c r="K185" s="26"/>
      <x:c r="L185" s="26"/>
      <x:c r="M185" s="26"/>
      <x:c r="N185" s="33"/>
      <x:c r="O185" s="33"/>
      <x:c r="P185" s="33"/>
      <x:c r="Q185" s="33"/>
      <x:c r="R185" s="33"/>
      <x:c r="S185" s="33"/>
      <x:c r="T185" s="33"/>
      <x:c r="U185" s="37" t="n">
        <x:f>'計價參數'!$B$7</x:f>
        <x:v>0.5</x:v>
      </x:c>
      <x:c r="V185" s="33" t="str">
        <x:f>IF(COUNTA(A185:T185)=0,"",K185*L185*'計價參數'!$B$5+M185*'計價參數'!$B$6+SUM(N185:T185))</x:f>
      </x:c>
      <x:c r="W185" s="33" t="str">
        <x:f>IF(V185="","",IF(U185&gt;=1,"",V185/(1-U185)))</x:f>
      </x:c>
      <x:c r="X185" s="33" t="str">
        <x:f>IF(G185="","",IFERROR(INDEX('加價服務矩陣'!$I$6:$I$29,MATCH(G185,'加價服務矩陣'!$A$6:$A$29,0)),0))</x:f>
      </x:c>
      <x:c r="Y185" s="33" t="str">
        <x:f>IF(W185="","",MAX(W185,X185))</x:f>
      </x:c>
      <x:c r="Z185" s="33"/>
      <x:c r="AA185" s="33" t="str">
        <x:f>IF(Y185="","",MAX(0,Y185-Z185))</x:f>
      </x:c>
      <x:c r="AB185" s="26"/>
      <x:c r="AC185" s="26"/>
      <x:c r="AD185" s="26"/>
      <x:c r="AE185" s="26"/>
      <x:c r="AF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  <x:c r="K186" s="26"/>
      <x:c r="L186" s="26"/>
      <x:c r="M186" s="26"/>
      <x:c r="N186" s="33"/>
      <x:c r="O186" s="33"/>
      <x:c r="P186" s="33"/>
      <x:c r="Q186" s="33"/>
      <x:c r="R186" s="33"/>
      <x:c r="S186" s="33"/>
      <x:c r="T186" s="33"/>
      <x:c r="U186" s="37" t="n">
        <x:f>'計價參數'!$B$7</x:f>
        <x:v>0.5</x:v>
      </x:c>
      <x:c r="V186" s="33" t="str">
        <x:f>IF(COUNTA(A186:T186)=0,"",K186*L186*'計價參數'!$B$5+M186*'計價參數'!$B$6+SUM(N186:T186))</x:f>
      </x:c>
      <x:c r="W186" s="33" t="str">
        <x:f>IF(V186="","",IF(U186&gt;=1,"",V186/(1-U186)))</x:f>
      </x:c>
      <x:c r="X186" s="33" t="str">
        <x:f>IF(G186="","",IFERROR(INDEX('加價服務矩陣'!$I$6:$I$29,MATCH(G186,'加價服務矩陣'!$A$6:$A$29,0)),0))</x:f>
      </x:c>
      <x:c r="Y186" s="33" t="str">
        <x:f>IF(W186="","",MAX(W186,X186))</x:f>
      </x:c>
      <x:c r="Z186" s="33"/>
      <x:c r="AA186" s="33" t="str">
        <x:f>IF(Y186="","",MAX(0,Y186-Z186))</x:f>
      </x:c>
      <x:c r="AB186" s="26"/>
      <x:c r="AC186" s="26"/>
      <x:c r="AD186" s="26"/>
      <x:c r="AE186" s="26"/>
      <x:c r="AF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  <x:c r="K187" s="26"/>
      <x:c r="L187" s="26"/>
      <x:c r="M187" s="26"/>
      <x:c r="N187" s="33"/>
      <x:c r="O187" s="33"/>
      <x:c r="P187" s="33"/>
      <x:c r="Q187" s="33"/>
      <x:c r="R187" s="33"/>
      <x:c r="S187" s="33"/>
      <x:c r="T187" s="33"/>
      <x:c r="U187" s="37" t="n">
        <x:f>'計價參數'!$B$7</x:f>
        <x:v>0.5</x:v>
      </x:c>
      <x:c r="V187" s="33" t="str">
        <x:f>IF(COUNTA(A187:T187)=0,"",K187*L187*'計價參數'!$B$5+M187*'計價參數'!$B$6+SUM(N187:T187))</x:f>
      </x:c>
      <x:c r="W187" s="33" t="str">
        <x:f>IF(V187="","",IF(U187&gt;=1,"",V187/(1-U187)))</x:f>
      </x:c>
      <x:c r="X187" s="33" t="str">
        <x:f>IF(G187="","",IFERROR(INDEX('加價服務矩陣'!$I$6:$I$29,MATCH(G187,'加價服務矩陣'!$A$6:$A$29,0)),0))</x:f>
      </x:c>
      <x:c r="Y187" s="33" t="str">
        <x:f>IF(W187="","",MAX(W187,X187))</x:f>
      </x:c>
      <x:c r="Z187" s="33"/>
      <x:c r="AA187" s="33" t="str">
        <x:f>IF(Y187="","",MAX(0,Y187-Z187))</x:f>
      </x:c>
      <x:c r="AB187" s="26"/>
      <x:c r="AC187" s="26"/>
      <x:c r="AD187" s="26"/>
      <x:c r="AE187" s="26"/>
      <x:c r="AF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  <x:c r="K188" s="26"/>
      <x:c r="L188" s="26"/>
      <x:c r="M188" s="26"/>
      <x:c r="N188" s="33"/>
      <x:c r="O188" s="33"/>
      <x:c r="P188" s="33"/>
      <x:c r="Q188" s="33"/>
      <x:c r="R188" s="33"/>
      <x:c r="S188" s="33"/>
      <x:c r="T188" s="33"/>
      <x:c r="U188" s="37" t="n">
        <x:f>'計價參數'!$B$7</x:f>
        <x:v>0.5</x:v>
      </x:c>
      <x:c r="V188" s="33" t="str">
        <x:f>IF(COUNTA(A188:T188)=0,"",K188*L188*'計價參數'!$B$5+M188*'計價參數'!$B$6+SUM(N188:T188))</x:f>
      </x:c>
      <x:c r="W188" s="33" t="str">
        <x:f>IF(V188="","",IF(U188&gt;=1,"",V188/(1-U188)))</x:f>
      </x:c>
      <x:c r="X188" s="33" t="str">
        <x:f>IF(G188="","",IFERROR(INDEX('加價服務矩陣'!$I$6:$I$29,MATCH(G188,'加價服務矩陣'!$A$6:$A$29,0)),0))</x:f>
      </x:c>
      <x:c r="Y188" s="33" t="str">
        <x:f>IF(W188="","",MAX(W188,X188))</x:f>
      </x:c>
      <x:c r="Z188" s="33"/>
      <x:c r="AA188" s="33" t="str">
        <x:f>IF(Y188="","",MAX(0,Y188-Z188))</x:f>
      </x:c>
      <x:c r="AB188" s="26"/>
      <x:c r="AC188" s="26"/>
      <x:c r="AD188" s="26"/>
      <x:c r="AE188" s="26"/>
      <x:c r="AF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33"/>
      <x:c r="O189" s="33"/>
      <x:c r="P189" s="33"/>
      <x:c r="Q189" s="33"/>
      <x:c r="R189" s="33"/>
      <x:c r="S189" s="33"/>
      <x:c r="T189" s="33"/>
      <x:c r="U189" s="37" t="n">
        <x:f>'計價參數'!$B$7</x:f>
        <x:v>0.5</x:v>
      </x:c>
      <x:c r="V189" s="33" t="str">
        <x:f>IF(COUNTA(A189:T189)=0,"",K189*L189*'計價參數'!$B$5+M189*'計價參數'!$B$6+SUM(N189:T189))</x:f>
      </x:c>
      <x:c r="W189" s="33" t="str">
        <x:f>IF(V189="","",IF(U189&gt;=1,"",V189/(1-U189)))</x:f>
      </x:c>
      <x:c r="X189" s="33" t="str">
        <x:f>IF(G189="","",IFERROR(INDEX('加價服務矩陣'!$I$6:$I$29,MATCH(G189,'加價服務矩陣'!$A$6:$A$29,0)),0))</x:f>
      </x:c>
      <x:c r="Y189" s="33" t="str">
        <x:f>IF(W189="","",MAX(W189,X189))</x:f>
      </x:c>
      <x:c r="Z189" s="33"/>
      <x:c r="AA189" s="33" t="str">
        <x:f>IF(Y189="","",MAX(0,Y189-Z189))</x:f>
      </x:c>
      <x:c r="AB189" s="26"/>
      <x:c r="AC189" s="26"/>
      <x:c r="AD189" s="26"/>
      <x:c r="AE189" s="26"/>
      <x:c r="AF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33"/>
      <x:c r="O190" s="33"/>
      <x:c r="P190" s="33"/>
      <x:c r="Q190" s="33"/>
      <x:c r="R190" s="33"/>
      <x:c r="S190" s="33"/>
      <x:c r="T190" s="33"/>
      <x:c r="U190" s="37" t="n">
        <x:f>'計價參數'!$B$7</x:f>
        <x:v>0.5</x:v>
      </x:c>
      <x:c r="V190" s="33" t="str">
        <x:f>IF(COUNTA(A190:T190)=0,"",K190*L190*'計價參數'!$B$5+M190*'計價參數'!$B$6+SUM(N190:T190))</x:f>
      </x:c>
      <x:c r="W190" s="33" t="str">
        <x:f>IF(V190="","",IF(U190&gt;=1,"",V190/(1-U190)))</x:f>
      </x:c>
      <x:c r="X190" s="33" t="str">
        <x:f>IF(G190="","",IFERROR(INDEX('加價服務矩陣'!$I$6:$I$29,MATCH(G190,'加價服務矩陣'!$A$6:$A$29,0)),0))</x:f>
      </x:c>
      <x:c r="Y190" s="33" t="str">
        <x:f>IF(W190="","",MAX(W190,X190))</x:f>
      </x:c>
      <x:c r="Z190" s="33"/>
      <x:c r="AA190" s="33" t="str">
        <x:f>IF(Y190="","",MAX(0,Y190-Z190))</x:f>
      </x:c>
      <x:c r="AB190" s="26"/>
      <x:c r="AC190" s="26"/>
      <x:c r="AD190" s="26"/>
      <x:c r="AE190" s="26"/>
      <x:c r="AF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  <x:c r="K191" s="26"/>
      <x:c r="L191" s="26"/>
      <x:c r="M191" s="26"/>
      <x:c r="N191" s="33"/>
      <x:c r="O191" s="33"/>
      <x:c r="P191" s="33"/>
      <x:c r="Q191" s="33"/>
      <x:c r="R191" s="33"/>
      <x:c r="S191" s="33"/>
      <x:c r="T191" s="33"/>
      <x:c r="U191" s="37" t="n">
        <x:f>'計價參數'!$B$7</x:f>
        <x:v>0.5</x:v>
      </x:c>
      <x:c r="V191" s="33" t="str">
        <x:f>IF(COUNTA(A191:T191)=0,"",K191*L191*'計價參數'!$B$5+M191*'計價參數'!$B$6+SUM(N191:T191))</x:f>
      </x:c>
      <x:c r="W191" s="33" t="str">
        <x:f>IF(V191="","",IF(U191&gt;=1,"",V191/(1-U191)))</x:f>
      </x:c>
      <x:c r="X191" s="33" t="str">
        <x:f>IF(G191="","",IFERROR(INDEX('加價服務矩陣'!$I$6:$I$29,MATCH(G191,'加價服務矩陣'!$A$6:$A$29,0)),0))</x:f>
      </x:c>
      <x:c r="Y191" s="33" t="str">
        <x:f>IF(W191="","",MAX(W191,X191))</x:f>
      </x:c>
      <x:c r="Z191" s="33"/>
      <x:c r="AA191" s="33" t="str">
        <x:f>IF(Y191="","",MAX(0,Y191-Z191))</x:f>
      </x:c>
      <x:c r="AB191" s="26"/>
      <x:c r="AC191" s="26"/>
      <x:c r="AD191" s="26"/>
      <x:c r="AE191" s="26"/>
      <x:c r="AF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  <x:c r="K192" s="26"/>
      <x:c r="L192" s="26"/>
      <x:c r="M192" s="26"/>
      <x:c r="N192" s="33"/>
      <x:c r="O192" s="33"/>
      <x:c r="P192" s="33"/>
      <x:c r="Q192" s="33"/>
      <x:c r="R192" s="33"/>
      <x:c r="S192" s="33"/>
      <x:c r="T192" s="33"/>
      <x:c r="U192" s="37" t="n">
        <x:f>'計價參數'!$B$7</x:f>
        <x:v>0.5</x:v>
      </x:c>
      <x:c r="V192" s="33" t="str">
        <x:f>IF(COUNTA(A192:T192)=0,"",K192*L192*'計價參數'!$B$5+M192*'計價參數'!$B$6+SUM(N192:T192))</x:f>
      </x:c>
      <x:c r="W192" s="33" t="str">
        <x:f>IF(V192="","",IF(U192&gt;=1,"",V192/(1-U192)))</x:f>
      </x:c>
      <x:c r="X192" s="33" t="str">
        <x:f>IF(G192="","",IFERROR(INDEX('加價服務矩陣'!$I$6:$I$29,MATCH(G192,'加價服務矩陣'!$A$6:$A$29,0)),0))</x:f>
      </x:c>
      <x:c r="Y192" s="33" t="str">
        <x:f>IF(W192="","",MAX(W192,X192))</x:f>
      </x:c>
      <x:c r="Z192" s="33"/>
      <x:c r="AA192" s="33" t="str">
        <x:f>IF(Y192="","",MAX(0,Y192-Z192))</x:f>
      </x:c>
      <x:c r="AB192" s="26"/>
      <x:c r="AC192" s="26"/>
      <x:c r="AD192" s="26"/>
      <x:c r="AE192" s="26"/>
      <x:c r="AF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  <x:c r="K193" s="26"/>
      <x:c r="L193" s="26"/>
      <x:c r="M193" s="26"/>
      <x:c r="N193" s="33"/>
      <x:c r="O193" s="33"/>
      <x:c r="P193" s="33"/>
      <x:c r="Q193" s="33"/>
      <x:c r="R193" s="33"/>
      <x:c r="S193" s="33"/>
      <x:c r="T193" s="33"/>
      <x:c r="U193" s="37" t="n">
        <x:f>'計價參數'!$B$7</x:f>
        <x:v>0.5</x:v>
      </x:c>
      <x:c r="V193" s="33" t="str">
        <x:f>IF(COUNTA(A193:T193)=0,"",K193*L193*'計價參數'!$B$5+M193*'計價參數'!$B$6+SUM(N193:T193))</x:f>
      </x:c>
      <x:c r="W193" s="33" t="str">
        <x:f>IF(V193="","",IF(U193&gt;=1,"",V193/(1-U193)))</x:f>
      </x:c>
      <x:c r="X193" s="33" t="str">
        <x:f>IF(G193="","",IFERROR(INDEX('加價服務矩陣'!$I$6:$I$29,MATCH(G193,'加價服務矩陣'!$A$6:$A$29,0)),0))</x:f>
      </x:c>
      <x:c r="Y193" s="33" t="str">
        <x:f>IF(W193="","",MAX(W193,X193))</x:f>
      </x:c>
      <x:c r="Z193" s="33"/>
      <x:c r="AA193" s="33" t="str">
        <x:f>IF(Y193="","",MAX(0,Y193-Z193))</x:f>
      </x:c>
      <x:c r="AB193" s="26"/>
      <x:c r="AC193" s="26"/>
      <x:c r="AD193" s="26"/>
      <x:c r="AE193" s="26"/>
      <x:c r="AF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  <x:c r="K194" s="26"/>
      <x:c r="L194" s="26"/>
      <x:c r="M194" s="26"/>
      <x:c r="N194" s="33"/>
      <x:c r="O194" s="33"/>
      <x:c r="P194" s="33"/>
      <x:c r="Q194" s="33"/>
      <x:c r="R194" s="33"/>
      <x:c r="S194" s="33"/>
      <x:c r="T194" s="33"/>
      <x:c r="U194" s="37" t="n">
        <x:f>'計價參數'!$B$7</x:f>
        <x:v>0.5</x:v>
      </x:c>
      <x:c r="V194" s="33" t="str">
        <x:f>IF(COUNTA(A194:T194)=0,"",K194*L194*'計價參數'!$B$5+M194*'計價參數'!$B$6+SUM(N194:T194))</x:f>
      </x:c>
      <x:c r="W194" s="33" t="str">
        <x:f>IF(V194="","",IF(U194&gt;=1,"",V194/(1-U194)))</x:f>
      </x:c>
      <x:c r="X194" s="33" t="str">
        <x:f>IF(G194="","",IFERROR(INDEX('加價服務矩陣'!$I$6:$I$29,MATCH(G194,'加價服務矩陣'!$A$6:$A$29,0)),0))</x:f>
      </x:c>
      <x:c r="Y194" s="33" t="str">
        <x:f>IF(W194="","",MAX(W194,X194))</x:f>
      </x:c>
      <x:c r="Z194" s="33"/>
      <x:c r="AA194" s="33" t="str">
        <x:f>IF(Y194="","",MAX(0,Y194-Z194))</x:f>
      </x:c>
      <x:c r="AB194" s="26"/>
      <x:c r="AC194" s="26"/>
      <x:c r="AD194" s="26"/>
      <x:c r="AE194" s="26"/>
      <x:c r="AF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  <x:c r="K195" s="26"/>
      <x:c r="L195" s="26"/>
      <x:c r="M195" s="26"/>
      <x:c r="N195" s="33"/>
      <x:c r="O195" s="33"/>
      <x:c r="P195" s="33"/>
      <x:c r="Q195" s="33"/>
      <x:c r="R195" s="33"/>
      <x:c r="S195" s="33"/>
      <x:c r="T195" s="33"/>
      <x:c r="U195" s="37" t="n">
        <x:f>'計價參數'!$B$7</x:f>
        <x:v>0.5</x:v>
      </x:c>
      <x:c r="V195" s="33" t="str">
        <x:f>IF(COUNTA(A195:T195)=0,"",K195*L195*'計價參數'!$B$5+M195*'計價參數'!$B$6+SUM(N195:T195))</x:f>
      </x:c>
      <x:c r="W195" s="33" t="str">
        <x:f>IF(V195="","",IF(U195&gt;=1,"",V195/(1-U195)))</x:f>
      </x:c>
      <x:c r="X195" s="33" t="str">
        <x:f>IF(G195="","",IFERROR(INDEX('加價服務矩陣'!$I$6:$I$29,MATCH(G195,'加價服務矩陣'!$A$6:$A$29,0)),0))</x:f>
      </x:c>
      <x:c r="Y195" s="33" t="str">
        <x:f>IF(W195="","",MAX(W195,X195))</x:f>
      </x:c>
      <x:c r="Z195" s="33"/>
      <x:c r="AA195" s="33" t="str">
        <x:f>IF(Y195="","",MAX(0,Y195-Z195))</x:f>
      </x:c>
      <x:c r="AB195" s="26"/>
      <x:c r="AC195" s="26"/>
      <x:c r="AD195" s="26"/>
      <x:c r="AE195" s="26"/>
      <x:c r="AF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  <x:c r="K196" s="26"/>
      <x:c r="L196" s="26"/>
      <x:c r="M196" s="26"/>
      <x:c r="N196" s="33"/>
      <x:c r="O196" s="33"/>
      <x:c r="P196" s="33"/>
      <x:c r="Q196" s="33"/>
      <x:c r="R196" s="33"/>
      <x:c r="S196" s="33"/>
      <x:c r="T196" s="33"/>
      <x:c r="U196" s="37" t="n">
        <x:f>'計價參數'!$B$7</x:f>
        <x:v>0.5</x:v>
      </x:c>
      <x:c r="V196" s="33" t="str">
        <x:f>IF(COUNTA(A196:T196)=0,"",K196*L196*'計價參數'!$B$5+M196*'計價參數'!$B$6+SUM(N196:T196))</x:f>
      </x:c>
      <x:c r="W196" s="33" t="str">
        <x:f>IF(V196="","",IF(U196&gt;=1,"",V196/(1-U196)))</x:f>
      </x:c>
      <x:c r="X196" s="33" t="str">
        <x:f>IF(G196="","",IFERROR(INDEX('加價服務矩陣'!$I$6:$I$29,MATCH(G196,'加價服務矩陣'!$A$6:$A$29,0)),0))</x:f>
      </x:c>
      <x:c r="Y196" s="33" t="str">
        <x:f>IF(W196="","",MAX(W196,X196))</x:f>
      </x:c>
      <x:c r="Z196" s="33"/>
      <x:c r="AA196" s="33" t="str">
        <x:f>IF(Y196="","",MAX(0,Y196-Z196))</x:f>
      </x:c>
      <x:c r="AB196" s="26"/>
      <x:c r="AC196" s="26"/>
      <x:c r="AD196" s="26"/>
      <x:c r="AE196" s="26"/>
      <x:c r="AF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  <x:c r="K197" s="26"/>
      <x:c r="L197" s="26"/>
      <x:c r="M197" s="26"/>
      <x:c r="N197" s="33"/>
      <x:c r="O197" s="33"/>
      <x:c r="P197" s="33"/>
      <x:c r="Q197" s="33"/>
      <x:c r="R197" s="33"/>
      <x:c r="S197" s="33"/>
      <x:c r="T197" s="33"/>
      <x:c r="U197" s="37" t="n">
        <x:f>'計價參數'!$B$7</x:f>
        <x:v>0.5</x:v>
      </x:c>
      <x:c r="V197" s="33" t="str">
        <x:f>IF(COUNTA(A197:T197)=0,"",K197*L197*'計價參數'!$B$5+M197*'計價參數'!$B$6+SUM(N197:T197))</x:f>
      </x:c>
      <x:c r="W197" s="33" t="str">
        <x:f>IF(V197="","",IF(U197&gt;=1,"",V197/(1-U197)))</x:f>
      </x:c>
      <x:c r="X197" s="33" t="str">
        <x:f>IF(G197="","",IFERROR(INDEX('加價服務矩陣'!$I$6:$I$29,MATCH(G197,'加價服務矩陣'!$A$6:$A$29,0)),0))</x:f>
      </x:c>
      <x:c r="Y197" s="33" t="str">
        <x:f>IF(W197="","",MAX(W197,X197))</x:f>
      </x:c>
      <x:c r="Z197" s="33"/>
      <x:c r="AA197" s="33" t="str">
        <x:f>IF(Y197="","",MAX(0,Y197-Z197))</x:f>
      </x:c>
      <x:c r="AB197" s="26"/>
      <x:c r="AC197" s="26"/>
      <x:c r="AD197" s="26"/>
      <x:c r="AE197" s="26"/>
      <x:c r="AF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  <x:c r="K198" s="26"/>
      <x:c r="L198" s="26"/>
      <x:c r="M198" s="26"/>
      <x:c r="N198" s="33"/>
      <x:c r="O198" s="33"/>
      <x:c r="P198" s="33"/>
      <x:c r="Q198" s="33"/>
      <x:c r="R198" s="33"/>
      <x:c r="S198" s="33"/>
      <x:c r="T198" s="33"/>
      <x:c r="U198" s="37" t="n">
        <x:f>'計價參數'!$B$7</x:f>
        <x:v>0.5</x:v>
      </x:c>
      <x:c r="V198" s="33" t="str">
        <x:f>IF(COUNTA(A198:T198)=0,"",K198*L198*'計價參數'!$B$5+M198*'計價參數'!$B$6+SUM(N198:T198))</x:f>
      </x:c>
      <x:c r="W198" s="33" t="str">
        <x:f>IF(V198="","",IF(U198&gt;=1,"",V198/(1-U198)))</x:f>
      </x:c>
      <x:c r="X198" s="33" t="str">
        <x:f>IF(G198="","",IFERROR(INDEX('加價服務矩陣'!$I$6:$I$29,MATCH(G198,'加價服務矩陣'!$A$6:$A$29,0)),0))</x:f>
      </x:c>
      <x:c r="Y198" s="33" t="str">
        <x:f>IF(W198="","",MAX(W198,X198))</x:f>
      </x:c>
      <x:c r="Z198" s="33"/>
      <x:c r="AA198" s="33" t="str">
        <x:f>IF(Y198="","",MAX(0,Y198-Z198))</x:f>
      </x:c>
      <x:c r="AB198" s="26"/>
      <x:c r="AC198" s="26"/>
      <x:c r="AD198" s="26"/>
      <x:c r="AE198" s="26"/>
      <x:c r="AF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  <x:c r="K199" s="26"/>
      <x:c r="L199" s="26"/>
      <x:c r="M199" s="26"/>
      <x:c r="N199" s="33"/>
      <x:c r="O199" s="33"/>
      <x:c r="P199" s="33"/>
      <x:c r="Q199" s="33"/>
      <x:c r="R199" s="33"/>
      <x:c r="S199" s="33"/>
      <x:c r="T199" s="33"/>
      <x:c r="U199" s="37" t="n">
        <x:f>'計價參數'!$B$7</x:f>
        <x:v>0.5</x:v>
      </x:c>
      <x:c r="V199" s="33" t="str">
        <x:f>IF(COUNTA(A199:T199)=0,"",K199*L199*'計價參數'!$B$5+M199*'計價參數'!$B$6+SUM(N199:T199))</x:f>
      </x:c>
      <x:c r="W199" s="33" t="str">
        <x:f>IF(V199="","",IF(U199&gt;=1,"",V199/(1-U199)))</x:f>
      </x:c>
      <x:c r="X199" s="33" t="str">
        <x:f>IF(G199="","",IFERROR(INDEX('加價服務矩陣'!$I$6:$I$29,MATCH(G199,'加價服務矩陣'!$A$6:$A$29,0)),0))</x:f>
      </x:c>
      <x:c r="Y199" s="33" t="str">
        <x:f>IF(W199="","",MAX(W199,X199))</x:f>
      </x:c>
      <x:c r="Z199" s="33"/>
      <x:c r="AA199" s="33" t="str">
        <x:f>IF(Y199="","",MAX(0,Y199-Z199))</x:f>
      </x:c>
      <x:c r="AB199" s="26"/>
      <x:c r="AC199" s="26"/>
      <x:c r="AD199" s="26"/>
      <x:c r="AE199" s="26"/>
      <x:c r="AF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  <x:c r="K200" s="26"/>
      <x:c r="L200" s="26"/>
      <x:c r="M200" s="26"/>
      <x:c r="N200" s="33"/>
      <x:c r="O200" s="33"/>
      <x:c r="P200" s="33"/>
      <x:c r="Q200" s="33"/>
      <x:c r="R200" s="33"/>
      <x:c r="S200" s="33"/>
      <x:c r="T200" s="33"/>
      <x:c r="U200" s="37" t="n">
        <x:f>'計價參數'!$B$7</x:f>
        <x:v>0.5</x:v>
      </x:c>
      <x:c r="V200" s="33" t="str">
        <x:f>IF(COUNTA(A200:T200)=0,"",K200*L200*'計價參數'!$B$5+M200*'計價參數'!$B$6+SUM(N200:T200))</x:f>
      </x:c>
      <x:c r="W200" s="33" t="str">
        <x:f>IF(V200="","",IF(U200&gt;=1,"",V200/(1-U200)))</x:f>
      </x:c>
      <x:c r="X200" s="33" t="str">
        <x:f>IF(G200="","",IFERROR(INDEX('加價服務矩陣'!$I$6:$I$29,MATCH(G200,'加價服務矩陣'!$A$6:$A$29,0)),0))</x:f>
      </x:c>
      <x:c r="Y200" s="33" t="str">
        <x:f>IF(W200="","",MAX(W200,X200))</x:f>
      </x:c>
      <x:c r="Z200" s="33"/>
      <x:c r="AA200" s="33" t="str">
        <x:f>IF(Y200="","",MAX(0,Y200-Z200))</x:f>
      </x:c>
      <x:c r="AB200" s="26"/>
      <x:c r="AC200" s="26"/>
      <x:c r="AD200" s="26"/>
      <x:c r="AE200" s="26"/>
      <x:c r="AF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33"/>
      <x:c r="O201" s="33"/>
      <x:c r="P201" s="33"/>
      <x:c r="Q201" s="33"/>
      <x:c r="R201" s="33"/>
      <x:c r="S201" s="33"/>
      <x:c r="T201" s="33"/>
      <x:c r="U201" s="37" t="n">
        <x:f>'計價參數'!$B$7</x:f>
        <x:v>0.5</x:v>
      </x:c>
      <x:c r="V201" s="33" t="str">
        <x:f>IF(COUNTA(A201:T201)=0,"",K201*L201*'計價參數'!$B$5+M201*'計價參數'!$B$6+SUM(N201:T201))</x:f>
      </x:c>
      <x:c r="W201" s="33" t="str">
        <x:f>IF(V201="","",IF(U201&gt;=1,"",V201/(1-U201)))</x:f>
      </x:c>
      <x:c r="X201" s="33" t="str">
        <x:f>IF(G201="","",IFERROR(INDEX('加價服務矩陣'!$I$6:$I$29,MATCH(G201,'加價服務矩陣'!$A$6:$A$29,0)),0))</x:f>
      </x:c>
      <x:c r="Y201" s="33" t="str">
        <x:f>IF(W201="","",MAX(W201,X201))</x:f>
      </x:c>
      <x:c r="Z201" s="33"/>
      <x:c r="AA201" s="33" t="str">
        <x:f>IF(Y201="","",MAX(0,Y201-Z201))</x:f>
      </x:c>
      <x:c r="AB201" s="26"/>
      <x:c r="AC201" s="26"/>
      <x:c r="AD201" s="26"/>
      <x:c r="AE201" s="26"/>
      <x:c r="AF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33"/>
      <x:c r="O202" s="33"/>
      <x:c r="P202" s="33"/>
      <x:c r="Q202" s="33"/>
      <x:c r="R202" s="33"/>
      <x:c r="S202" s="33"/>
      <x:c r="T202" s="33"/>
      <x:c r="U202" s="37" t="n">
        <x:f>'計價參數'!$B$7</x:f>
        <x:v>0.5</x:v>
      </x:c>
      <x:c r="V202" s="33" t="str">
        <x:f>IF(COUNTA(A202:T202)=0,"",K202*L202*'計價參數'!$B$5+M202*'計價參數'!$B$6+SUM(N202:T202))</x:f>
      </x:c>
      <x:c r="W202" s="33" t="str">
        <x:f>IF(V202="","",IF(U202&gt;=1,"",V202/(1-U202)))</x:f>
      </x:c>
      <x:c r="X202" s="33" t="str">
        <x:f>IF(G202="","",IFERROR(INDEX('加價服務矩陣'!$I$6:$I$29,MATCH(G202,'加價服務矩陣'!$A$6:$A$29,0)),0))</x:f>
      </x:c>
      <x:c r="Y202" s="33" t="str">
        <x:f>IF(W202="","",MAX(W202,X202))</x:f>
      </x:c>
      <x:c r="Z202" s="33"/>
      <x:c r="AA202" s="33" t="str">
        <x:f>IF(Y202="","",MAX(0,Y202-Z202))</x:f>
      </x:c>
      <x:c r="AB202" s="26"/>
      <x:c r="AC202" s="26"/>
      <x:c r="AD202" s="26"/>
      <x:c r="AE202" s="26"/>
      <x:c r="AF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  <x:c r="K203" s="26"/>
      <x:c r="L203" s="26"/>
      <x:c r="M203" s="26"/>
      <x:c r="N203" s="33"/>
      <x:c r="O203" s="33"/>
      <x:c r="P203" s="33"/>
      <x:c r="Q203" s="33"/>
      <x:c r="R203" s="33"/>
      <x:c r="S203" s="33"/>
      <x:c r="T203" s="33"/>
      <x:c r="U203" s="37" t="n">
        <x:f>'計價參數'!$B$7</x:f>
        <x:v>0.5</x:v>
      </x:c>
      <x:c r="V203" s="33" t="str">
        <x:f>IF(COUNTA(A203:T203)=0,"",K203*L203*'計價參數'!$B$5+M203*'計價參數'!$B$6+SUM(N203:T203))</x:f>
      </x:c>
      <x:c r="W203" s="33" t="str">
        <x:f>IF(V203="","",IF(U203&gt;=1,"",V203/(1-U203)))</x:f>
      </x:c>
      <x:c r="X203" s="33" t="str">
        <x:f>IF(G203="","",IFERROR(INDEX('加價服務矩陣'!$I$6:$I$29,MATCH(G203,'加價服務矩陣'!$A$6:$A$29,0)),0))</x:f>
      </x:c>
      <x:c r="Y203" s="33" t="str">
        <x:f>IF(W203="","",MAX(W203,X203))</x:f>
      </x:c>
      <x:c r="Z203" s="33"/>
      <x:c r="AA203" s="33" t="str">
        <x:f>IF(Y203="","",MAX(0,Y203-Z203))</x:f>
      </x:c>
      <x:c r="AB203" s="26"/>
      <x:c r="AC203" s="26"/>
      <x:c r="AD203" s="26"/>
      <x:c r="AE203" s="26"/>
      <x:c r="AF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  <x:c r="K204" s="26"/>
      <x:c r="L204" s="26"/>
      <x:c r="M204" s="26"/>
      <x:c r="N204" s="33"/>
      <x:c r="O204" s="33"/>
      <x:c r="P204" s="33"/>
      <x:c r="Q204" s="33"/>
      <x:c r="R204" s="33"/>
      <x:c r="S204" s="33"/>
      <x:c r="T204" s="33"/>
      <x:c r="U204" s="37" t="n">
        <x:f>'計價參數'!$B$7</x:f>
        <x:v>0.5</x:v>
      </x:c>
      <x:c r="V204" s="33" t="str">
        <x:f>IF(COUNTA(A204:T204)=0,"",K204*L204*'計價參數'!$B$5+M204*'計價參數'!$B$6+SUM(N204:T204))</x:f>
      </x:c>
      <x:c r="W204" s="33" t="str">
        <x:f>IF(V204="","",IF(U204&gt;=1,"",V204/(1-U204)))</x:f>
      </x:c>
      <x:c r="X204" s="33" t="str">
        <x:f>IF(G204="","",IFERROR(INDEX('加價服務矩陣'!$I$6:$I$29,MATCH(G204,'加價服務矩陣'!$A$6:$A$29,0)),0))</x:f>
      </x:c>
      <x:c r="Y204" s="33" t="str">
        <x:f>IF(W204="","",MAX(W204,X204))</x:f>
      </x:c>
      <x:c r="Z204" s="33"/>
      <x:c r="AA204" s="33" t="str">
        <x:f>IF(Y204="","",MAX(0,Y204-Z204))</x:f>
      </x:c>
      <x:c r="AB204" s="26"/>
      <x:c r="AC204" s="26"/>
      <x:c r="AD204" s="26"/>
      <x:c r="AE204" s="26"/>
      <x:c r="AF204" s="26"/>
    </x:row>
    <x:row r="205">
      <x:c r="A205" s="26"/>
      <x:c r="B205" s="26"/>
      <x:c r="C205" s="26"/>
      <x:c r="D205" s="26"/>
      <x:c r="E205" s="26"/>
      <x:c r="F205" s="26"/>
      <x:c r="G205" s="26"/>
      <x:c r="H205" s="26"/>
      <x:c r="I205" s="26"/>
      <x:c r="J205" s="26"/>
      <x:c r="K205" s="26"/>
      <x:c r="L205" s="26"/>
      <x:c r="M205" s="26"/>
      <x:c r="N205" s="33"/>
      <x:c r="O205" s="33"/>
      <x:c r="P205" s="33"/>
      <x:c r="Q205" s="33"/>
      <x:c r="R205" s="33"/>
      <x:c r="S205" s="33"/>
      <x:c r="T205" s="33"/>
      <x:c r="U205" s="37" t="n">
        <x:f>'計價參數'!$B$7</x:f>
        <x:v>0.5</x:v>
      </x:c>
      <x:c r="V205" s="33" t="str">
        <x:f>IF(COUNTA(A205:T205)=0,"",K205*L205*'計價參數'!$B$5+M205*'計價參數'!$B$6+SUM(N205:T205))</x:f>
      </x:c>
      <x:c r="W205" s="33" t="str">
        <x:f>IF(V205="","",IF(U205&gt;=1,"",V205/(1-U205)))</x:f>
      </x:c>
      <x:c r="X205" s="33" t="str">
        <x:f>IF(G205="","",IFERROR(INDEX('加價服務矩陣'!$I$6:$I$29,MATCH(G205,'加價服務矩陣'!$A$6:$A$29,0)),0))</x:f>
      </x:c>
      <x:c r="Y205" s="33" t="str">
        <x:f>IF(W205="","",MAX(W205,X205))</x:f>
      </x:c>
      <x:c r="Z205" s="33"/>
      <x:c r="AA205" s="33" t="str">
        <x:f>IF(Y205="","",MAX(0,Y205-Z205))</x:f>
      </x:c>
      <x:c r="AB205" s="26"/>
      <x:c r="AC205" s="26"/>
      <x:c r="AD205" s="26"/>
      <x:c r="AE205" s="26"/>
      <x:c r="AF205" s="26"/>
    </x:row>
  </x:sheetData>
  <x:mergeCells>
    <x:mergeCell ref="A1:AF1"/>
    <x:mergeCell ref="A2:AF2"/>
  </x:mergeCells>
  <x:conditionalFormatting sqref="AA6:AA205">
    <x:cfRule type="cellIs" dxfId="2" priority="1" operator="greaterThan">
      <x:formula>0</x:formula>
    </x:cfRule>
  </x:conditionalFormatting>
  <x:dataValidations count="2">
    <x:dataValidation type="list" sqref="F6:F205">
      <x:formula1>"custom_scope,third_party_turnkey,logistics_access,revision_change_order,equipment_consumables,time_rush,dietary_separation,onsite_service,cleanup_waste"</x:formula1>
    </x:dataValidation>
    <x:dataValidation type="list" sqref="AB6:AB205">
      <x:formula1>"NEEDS_REVIEW,INCLUDED,BILLABLE,CHANGE_ORDER,PASS_THROUGH,DECLINE_OR_RISK,OWNER_WAIVER,CHARGED"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8c7727cd8c40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72" hidden="0" customWidth="1"/>
  </x:cols>
  <x:sheetData>
    <x:row r="1" ht="28" customHeight="1">
      <x:c r="A1" s="3" t="str">
        <x:v>MAPLAB 加價計價參數</x:v>
      </x:c>
      <x:c r="B1" s="3"/>
      <x:c r="C1" s="3"/>
      <x:c r="D1" s="3"/>
      <x:c r="E1" s="3"/>
      <x:c r="F1" s="3"/>
    </x:row>
    <x:row r="2" ht="28" customHeight="1">
      <x:c r="A2" s="7" t="str">
        <x:v>黃色儲存格為 Owner 可調整假設；尚未核准前不得寫回正式報價系統。所有金額為 NT$。 </x:v>
      </x:c>
      <x:c r="B2" s="7"/>
      <x:c r="C2" s="7"/>
      <x:c r="D2" s="7"/>
      <x:c r="E2" s="7"/>
      <x:c r="F2" s="7"/>
    </x:row>
    <x:row r="4">
      <x:c r="A4" s="16" t="str">
        <x:v>參數</x:v>
      </x:c>
      <x:c r="B4" s="17" t="str">
        <x:v>目前假設</x:v>
      </x:c>
      <x:c r="C4" s="18" t="str">
        <x:v>使用說明</x:v>
      </x:c>
    </x:row>
    <x:row r="5">
      <x:c r="A5" s="25" t="str">
        <x:v>完全負擔現場人員時薪</x:v>
      </x:c>
      <x:c r="B5" s="29" t="n">
        <x:v>300</x:v>
      </x:c>
      <x:c r="C5" s="25" t="str">
        <x:v>薪資＋勞健保／餐費／準備與交通分攤，請 A5 以真實成本覆蓋</x:v>
      </x:c>
    </x:row>
    <x:row r="6">
      <x:c r="A6" s="26" t="str">
        <x:v>完全負擔行政／設計時薪</x:v>
      </x:c>
      <x:c r="B6" s="30" t="n">
        <x:v>400</x:v>
      </x:c>
      <x:c r="C6" s="26" t="str">
        <x:v>報價、改稿、會議、採購與供應商協調</x:v>
      </x:c>
    </x:row>
    <x:row r="7">
      <x:c r="A7" s="26" t="str">
        <x:v>目標加價毛利率</x:v>
      </x:c>
      <x:c r="B7" s="31" t="n">
        <x:v>0.5</x:v>
      </x:c>
      <x:c r="C7" s="26" t="str">
        <x:v>與餐點毛利分開；正式值由 Owner/A5 核准</x:v>
      </x:c>
    </x:row>
    <x:row r="8">
      <x:c r="A8" s="26" t="str">
        <x:v>第三方管理費率</x:v>
      </x:c>
      <x:c r="B8" s="31" t="n">
        <x:v>0.18</x:v>
      </x:c>
      <x:c r="C8" s="26" t="str">
        <x:v>只對確有管理責任的第三方實支計算</x:v>
      </x:c>
    </x:row>
    <x:row r="9">
      <x:c r="A9" s="26" t="str">
        <x:v>急件人力倍率</x:v>
      </x:c>
      <x:c r="B9" s="31" t="n">
        <x:v>1.25</x:v>
      </x:c>
      <x:c r="C9" s="26" t="str">
        <x:v>不與同一成本的固定急件費重複收</x:v>
      </x:c>
    </x:row>
    <x:row r="10">
      <x:c r="A10" s="26" t="str">
        <x:v>夜間／假日人力倍率</x:v>
      </x:c>
      <x:c r="B10" s="31" t="n">
        <x:v>1.25</x:v>
      </x:c>
      <x:c r="C10" s="26" t="str">
        <x:v>只套額外人力成本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66" hidden="0" customWidth="1"/>
    <x:col min="4" max="4" width="66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" t="str">
        <x:v>來源、證據與使用邊界</x:v>
      </x:c>
      <x:c r="B1" s="3"/>
      <x:c r="C1" s="3"/>
      <x:c r="D1" s="3"/>
      <x:c r="E1" s="3"/>
      <x:c r="F1" s="3"/>
      <x:c r="G1" s="3"/>
    </x:row>
    <x:row r="2" ht="28" customHeight="1">
      <x:c r="A2" s="7" t="str">
        <x:v>LIVE 是本輪 readback；PUBLIC 是公開價格樣本；PRIVATE_LOCAL 僅能在本機使用。公開價不能直接覆蓋 MAPLAB 正式售價。 </x:v>
      </x:c>
      <x:c r="B2" s="7"/>
      <x:c r="C2" s="7"/>
      <x:c r="D2" s="7"/>
      <x:c r="E2" s="7"/>
      <x:c r="F2" s="7"/>
      <x:c r="G2" s="7"/>
    </x:row>
    <x:row r="5">
      <x:c r="A5" s="16" t="str">
        <x:v>類型</x:v>
      </x:c>
      <x:c r="B5" s="17" t="str">
        <x:v>來源</x:v>
      </x:c>
      <x:c r="C5" s="17" t="str">
        <x:v>支持的事實</x:v>
      </x:c>
      <x:c r="D5" s="17" t="str">
        <x:v>URL／路徑</x:v>
      </x:c>
      <x:c r="E5" s="17" t="str">
        <x:v>查核日</x:v>
      </x:c>
      <x:c r="F5" s="17" t="str">
        <x:v>可靠度</x:v>
      </x:c>
      <x:c r="G5" s="18" t="str">
        <x:v>用途</x:v>
      </x:c>
    </x:row>
    <x:row r="6">
      <x:c r="A6" s="25" t="str">
        <x:v>LIVE</x:v>
      </x:c>
      <x:c r="B6" s="25" t="str">
        <x:v>MAPLAB 主報價系統</x:v>
      </x:c>
      <x:c r="C6" s="25" t="str">
        <x:v>SALES_INTAKE、REVISION_LOG、CONVERSATION_LOG live headers；REVISION_LOG 無工時、成本、加價與豁免欄</x:v>
      </x:c>
      <x:c r="D6" s="25" t="str">
        <x:v>https://docs.google.com/spreadsheets/d/1fn_woqYI_RY9ggGHVidB5SMygAzwe4CL_SOPLhe91Jg/edit</x:v>
      </x:c>
      <x:c r="E6" s="25" t="str">
        <x:v>2026-08-28</x:v>
      </x:c>
      <x:c r="F6" s="25" t="str">
        <x:v>HIGH</x:v>
      </x:c>
      <x:c r="G6" s="25" t="str">
        <x:v>系統缺口</x:v>
      </x:c>
    </x:row>
    <x:row r="7">
      <x:c r="A7" s="26" t="str">
        <x:v>LIVE</x:v>
      </x:c>
      <x:c r="B7" s="26" t="str">
        <x:v>MAPLAB IG</x:v>
      </x:c>
      <x:c r="C7" s="26" t="str">
        <x:v>公開展示企業 Logo 插旗、鮮花、Tray-passed、品牌調性菜單與陳列，證明可拆成獨立交付</x:v>
      </x:c>
      <x:c r="D7" s="26" t="str">
        <x:v>https://www.instagram.com/maplabkitchen/</x:v>
      </x:c>
      <x:c r="E7" s="26" t="str">
        <x:v>2026-08-28</x:v>
      </x:c>
      <x:c r="F7" s="26" t="str">
        <x:v>HIGH</x:v>
      </x:c>
      <x:c r="G7" s="26" t="str">
        <x:v>產品化證據</x:v>
      </x:c>
    </x:row>
    <x:row r="8">
      <x:c r="A8" s="26" t="str">
        <x:v>LIVE</x:v>
      </x:c>
      <x:c r="B8" s="26" t="str">
        <x:v>MAPLAB_ASSET_LOG</x:v>
      </x:c>
      <x:c r="C8" s="26" t="str">
        <x:v>live header 以 file_id 為主鍵，首列可見 40,292；尚未與 case_id／quote_id／IG permalink 串接</x:v>
      </x:c>
      <x:c r="D8" s="26" t="str">
        <x:v>https://docs.google.com/spreadsheets/d/1nlxlMdaLdGEAmOjP70BYspRWqu_eYpsiRyZaujEZkYI/edit</x:v>
      </x:c>
      <x:c r="E8" s="26" t="str">
        <x:v>2026-08-28</x:v>
      </x:c>
      <x:c r="F8" s="26" t="str">
        <x:v>HIGH</x:v>
      </x:c>
      <x:c r="G8" s="26" t="str">
        <x:v>素材 join 缺口</x:v>
      </x:c>
    </x:row>
    <x:row r="9">
      <x:c r="A9" s="26" t="str">
        <x:v>LIVE</x:v>
      </x:c>
      <x:c r="B9" s="26" t="str">
        <x:v>2026 MAPLAB 外燴照片根目錄</x:v>
      </x:c>
      <x:c r="C9" s="26" t="str">
        <x:v>抽取頁回傳 100 項：41 folders、39 HEIF、4 MOV、3 JPEG 等；活動資料夾與報價仍缺穩定 join</x:v>
      </x:c>
      <x:c r="D9" s="26" t="str">
        <x:v>https://drive.google.com/drive/folders/1pKfGSOZXBpG7qXcJrW5T7aoHX4nqB1Tt</x:v>
      </x:c>
      <x:c r="E9" s="26" t="str">
        <x:v>2026-08-28</x:v>
      </x:c>
      <x:c r="F9" s="26" t="str">
        <x:v>MEDIUM</x:v>
      </x:c>
      <x:c r="G9" s="26" t="str">
        <x:v>素材流程</x:v>
      </x:c>
    </x:row>
    <x:row r="10">
      <x:c r="A10" s="26" t="str">
        <x:v>PRIVATE_LOCAL</x:v>
      </x:c>
      <x:c r="B10" s="26" t="str">
        <x:v>LINE 初步訊號掃描</x:v>
      </x:c>
      <x:c r="C10" s="26" t="str">
        <x:v>20,256 rows、2,491 conversations；只輸出 aggregate，不含原文與識別碼</x:v>
      </x:c>
      <x:c r="D10" s="26" t="str">
        <x:v>/Users/pagemacmini/.maplab/margin-leak-audit/20260828-initial-aggregate.json</x:v>
      </x:c>
      <x:c r="E10" s="26" t="str">
        <x:v>2026-08-28</x:v>
      </x:c>
      <x:c r="F10" s="26" t="str">
        <x:v>MEDIUM</x:v>
      </x:c>
      <x:c r="G10" s="26" t="str">
        <x:v>候選排序；不是已確認漏收</x:v>
      </x:c>
    </x:row>
    <x:row r="11">
      <x:c r="A11" s="26" t="str">
        <x:v>PUBLIC</x:v>
      </x:c>
      <x:c r="B11" s="26" t="str">
        <x:v>食藥署定型化契約</x:v>
      </x:c>
      <x:c r="C11" s="26" t="str">
        <x:v>免費與另行計費項目應預先列明；不得訂約後變相任意加價</x:v>
      </x:c>
      <x:c r="D11" s="26" t="str">
        <x:v>https://www.fda.gov.tw/tc/sitecontent.aspx?sid=2519</x:v>
      </x:c>
      <x:c r="E11" s="26" t="str">
        <x:v>2026-08-28</x:v>
      </x:c>
      <x:c r="F11" s="26" t="str">
        <x:v>HIGH</x:v>
      </x:c>
      <x:c r="G11" s="26" t="str">
        <x:v>治理邊界</x:v>
      </x:c>
    </x:row>
    <x:row r="12">
      <x:c r="A12" s="26" t="str">
        <x:v>PUBLIC</x:v>
      </x:c>
      <x:c r="B12" s="26" t="str">
        <x:v>好田外燴</x:v>
      </x:c>
      <x:c r="C12" s="26" t="str">
        <x:v>台南公開最低消費樣本：20 人 8,000 起</x:v>
      </x:c>
      <x:c r="D12" s="26" t="str">
        <x:v>https://www.howtian.com/catering</x:v>
      </x:c>
      <x:c r="E12" s="26" t="str">
        <x:v>2026-08-28</x:v>
      </x:c>
      <x:c r="F12" s="26" t="str">
        <x:v>MEDIUM</x:v>
      </x:c>
      <x:c r="G12" s="26" t="str">
        <x:v>南部最低消費錨點</x:v>
      </x:c>
    </x:row>
    <x:row r="13">
      <x:c r="A13" s="26" t="str">
        <x:v>PUBLIC</x:v>
      </x:c>
      <x:c r="B13" s="26" t="str">
        <x:v>原味好食</x:v>
      </x:c>
      <x:c r="C13" s="26" t="str">
        <x:v>高雄公開最低消費樣本：精緻型 8,000、大型客製 15,000 起</x:v>
      </x:c>
      <x:c r="D13" s="26" t="str">
        <x:v>https://originalmeal2016.com.tw/home</x:v>
      </x:c>
      <x:c r="E13" s="26" t="str">
        <x:v>2026-08-28</x:v>
      </x:c>
      <x:c r="F13" s="26" t="str">
        <x:v>MEDIUM</x:v>
      </x:c>
      <x:c r="G13" s="26" t="str">
        <x:v>南部最低消費錨點</x:v>
      </x:c>
    </x:row>
    <x:row r="14">
      <x:c r="A14" s="26" t="str">
        <x:v>PUBLIC</x:v>
      </x:c>
      <x:c r="B14" s="26" t="str">
        <x:v>Papago</x:v>
      </x:c>
      <x:c r="C14" s="26" t="str">
        <x:v>人員、超時、垃圾廚餘、租借品拆項收費樣本</x:v>
      </x:c>
      <x:c r="D14" s="26" t="str">
        <x:v>https://www.papagofood.com.tw/faq.php?cate=1&amp;cid=</x:v>
      </x:c>
      <x:c r="E14" s="26" t="str">
        <x:v>2026-08-28</x:v>
      </x:c>
      <x:c r="F14" s="26" t="str">
        <x:v>MEDIUM</x:v>
      </x:c>
      <x:c r="G14" s="26" t="str">
        <x:v>服務拆項</x:v>
      </x:c>
    </x:row>
    <x:row r="15">
      <x:c r="A15" s="26" t="str">
        <x:v>PUBLIC</x:v>
      </x:c>
      <x:c r="B15" s="26" t="str">
        <x:v>YAMI</x:v>
      </x:c>
      <x:c r="C15" s="26" t="str">
        <x:v>距離、服務人員、桌巾與桌具公開價樣本</x:v>
      </x:c>
      <x:c r="D15" s="26" t="str">
        <x:v>https://yamiyami.com.tw/menu/</x:v>
      </x:c>
      <x:c r="E15" s="26" t="str">
        <x:v>2026-08-28</x:v>
      </x:c>
      <x:c r="F15" s="26" t="str">
        <x:v>MEDIUM</x:v>
      </x:c>
      <x:c r="G15" s="26" t="str">
        <x:v>物流／設備</x:v>
      </x:c>
    </x:row>
    <x:row r="16">
      <x:c r="A16" s="26" t="str">
        <x:v>PUBLIC</x:v>
      </x:c>
      <x:c r="B16" s="26" t="str">
        <x:v>費小姐</x:v>
      </x:c>
      <x:c r="C16" s="26" t="str">
        <x:v>樓層、超時、急件、假日分級收費樣本</x:v>
      </x:c>
      <x:c r="D16" s="26" t="str">
        <x:v>https://missfaithsbakery.mystrikingly.com/ordering</x:v>
      </x:c>
      <x:c r="E16" s="26" t="str">
        <x:v>2026-08-28</x:v>
      </x:c>
      <x:c r="F16" s="26" t="str">
        <x:v>MEDIUM</x:v>
      </x:c>
      <x:c r="G16" s="26" t="str">
        <x:v>規則結構</x:v>
      </x:c>
    </x:row>
    <x:row r="17">
      <x:c r="A17" s="26" t="str">
        <x:v>PUBLIC</x:v>
      </x:c>
      <x:c r="B17" s="26" t="str">
        <x:v>新竹老爺</x:v>
      </x:c>
      <x:c r="C17" s="26" t="str">
        <x:v>人員、廚師、桌椅杯皿與非核心區運送公開價樣本</x:v>
      </x:c>
      <x:c r="D17" s="26" t="str">
        <x:v>https://www.hotelroyal.com.tw/Files/Documents/IJb20250207010604972.pdf</x:v>
      </x:c>
      <x:c r="E17" s="26" t="str">
        <x:v>2026-08-28</x:v>
      </x:c>
      <x:c r="F17" s="26" t="str">
        <x:v>MEDIUM</x:v>
      </x:c>
      <x:c r="G17" s="26" t="str">
        <x:v>飯店級上緣</x:v>
      </x:c>
    </x:row>
    <x:row r="18">
      <x:c r="A18" s="26" t="str">
        <x:v>PUBLIC</x:v>
      </x:c>
      <x:c r="B18" s="26" t="str">
        <x:v>OpenAI eval practice</x:v>
      </x:c>
      <x:c r="C18" s="26" t="str">
        <x:v>先人工檢視輸出、建立 failure taxonomy，再選改善槓桿</x:v>
      </x:c>
      <x:c r="D18" s="26" t="str">
        <x:v>https://openai.com/index/evals-drive-next-chapter-of-ai/</x:v>
      </x:c>
      <x:c r="E18" s="26" t="str">
        <x:v>2026-08-28</x:v>
      </x:c>
      <x:c r="F18" s="26" t="str">
        <x:v>HIGH</x:v>
      </x:c>
      <x:c r="G18" s="26" t="str">
        <x:v>訓練 SOP</x:v>
      </x:c>
    </x:row>
    <x:row r="19">
      <x:c r="A19" s="26" t="str">
        <x:v>PUBLIC</x:v>
      </x:c>
      <x:c r="B19" s="26" t="str">
        <x:v>Anthropic eval guide</x:v>
      </x:c>
      <x:c r="C19" s="26" t="str">
        <x:v>開發集與 held-out data 分離；同案例比較 baseline/candidate</x:v>
      </x:c>
      <x:c r="D19" s="26" t="str">
        <x:v>https://www-cdn.anthropic.com/38a1fb9db81446402a70bc45d104327aab12f3fe.pdf</x:v>
      </x:c>
      <x:c r="E19" s="26" t="str">
        <x:v>2026-08-28</x:v>
      </x:c>
      <x:c r="F19" s="26" t="str">
        <x:v>HIGH</x:v>
      </x:c>
      <x:c r="G19" s="26" t="str">
        <x:v>訓練 SOP</x:v>
      </x:c>
    </x:row>
    <x:row r="20">
      <x:c r="A20" s="26" t="str">
        <x:v>PUBLIC</x:v>
      </x:c>
      <x:c r="B20" s="26" t="str">
        <x:v>Anthropic agent evals</x:v>
      </x:c>
      <x:c r="C20" s="26" t="str">
        <x:v>低分先讀 transcript／grader；安全 gate 與能力分數分離</x:v>
      </x:c>
      <x:c r="D20" s="26" t="str">
        <x:v>https://www.anthropic.com/engineering/demystifying-evals-for-ai-agents</x:v>
      </x:c>
      <x:c r="E20" s="26" t="str">
        <x:v>2026-08-28</x:v>
      </x:c>
      <x:c r="F20" s="26" t="str">
        <x:v>HIGH</x:v>
      </x:c>
      <x:c r="G20" s="26" t="str">
        <x:v>訓練 SOP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fc6f10336dcc4d63"/>
  </x:tableParts>
</x:worksheet>
</file>